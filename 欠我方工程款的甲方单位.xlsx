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660" windowHeight="1326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<sst xmlns="http://schemas.openxmlformats.org/spreadsheetml/2006/main" count="953" uniqueCount="295">
  <si>
    <t>京津冀城际铁路投资有限公司</t>
  </si>
  <si>
    <t>天津泰达城市轨道投资发展有限公司</t>
  </si>
  <si>
    <t>天津市地下铁道集团有限公司</t>
  </si>
  <si>
    <t>北京市门头沟区妙峰山镇人民政府</t>
  </si>
  <si>
    <t>天津滨海新区高速公路投资发展有限公司</t>
  </si>
  <si>
    <t>邹平市住房和城乡建设局</t>
  </si>
  <si>
    <t>天津泰达滨海站建设开发有限公司</t>
  </si>
  <si>
    <t>天津滨城美好生活服务有限责任公司</t>
  </si>
  <si>
    <t>天津滨海建投项目管理有限公司</t>
  </si>
  <si>
    <t>呼和浩特经济技术开发区管理委员会</t>
  </si>
  <si>
    <t>天津滨海城市更新建设发展有限公司</t>
  </si>
  <si>
    <t>沈阳快速路建设投资有限公司</t>
  </si>
  <si>
    <t>沈阳市城乡建设投资发展有限公司</t>
  </si>
  <si>
    <t>霸州鼎兴园区建设发展有限公司</t>
  </si>
  <si>
    <t>日照钢铁控股集团有限公司</t>
  </si>
  <si>
    <t>北京城建集团有限责任公司</t>
  </si>
  <si>
    <t>天津市滨海新区环境建设投资有限公司</t>
  </si>
  <si>
    <t>天津市滨海新区排灌事务中心</t>
  </si>
  <si>
    <t>天津市滨海新区市容市政和公用事业服务中心</t>
  </si>
  <si>
    <t>天津市南港工业区开发有限公司</t>
  </si>
  <si>
    <t>天津临港建设开发有限公司</t>
  </si>
  <si>
    <t>天津泉泰生活垃圾处理有限公司</t>
  </si>
  <si>
    <t>天津经济技术开发区南港发展集团有限公司</t>
  </si>
  <si>
    <t>沈阳交通建设发展有限公司</t>
  </si>
  <si>
    <t>天津天潇房地产开发有限公司</t>
  </si>
  <si>
    <t>天津元庆投资有限公司</t>
  </si>
  <si>
    <t>天津泰盛房地产开发有限公司</t>
  </si>
  <si>
    <t>呼和浩特市第二中学</t>
  </si>
  <si>
    <t>呼和浩特市第三十九中学</t>
  </si>
  <si>
    <t>沈阳城投建设发展有限公司</t>
  </si>
  <si>
    <t>天津中心渔港开发有限公司</t>
  </si>
  <si>
    <t>天津东疆产业服务有限公司</t>
  </si>
  <si>
    <t>北塘湾（天津）科技发展有限公司</t>
  </si>
  <si>
    <t>安阳润达产业小镇建设发展有限公司</t>
  </si>
  <si>
    <t>呼和浩特市地铁实业有限公司</t>
  </si>
  <si>
    <t>沈阳康懿城市开发建设有限公司</t>
  </si>
  <si>
    <t>沧州市建设投资集团有限公司</t>
  </si>
  <si>
    <t>辽宁省康平县高级中学</t>
  </si>
  <si>
    <t>辽宁省康平县第一中学</t>
  </si>
  <si>
    <t>康平县乡村振兴发展中心</t>
  </si>
  <si>
    <t>大名县水利工程管理站</t>
  </si>
  <si>
    <t>天津市滨海新区城投建设发展有限公司</t>
  </si>
  <si>
    <t>项目信息——周冰云维护</t>
  </si>
  <si>
    <t>项目部</t>
  </si>
  <si>
    <t>所属帐套</t>
  </si>
  <si>
    <t>项目状态</t>
  </si>
  <si>
    <t>是否股份投资公司项目</t>
  </si>
  <si>
    <t>业主资金来源是否为政府专项债</t>
  </si>
  <si>
    <t>项目类别</t>
  </si>
  <si>
    <t>业主名称</t>
  </si>
  <si>
    <t>开累业主进度款实际拨款比例
（%）</t>
  </si>
  <si>
    <t>尚未扣回预付款</t>
  </si>
  <si>
    <t>按合同约定应拨款</t>
  </si>
  <si>
    <t>累计欠拨款
（“+”表示欠拨“-”表示超拨）</t>
  </si>
  <si>
    <t>应收业主债权余额</t>
  </si>
  <si>
    <t>潍烟铁路ZQSG-6项目部</t>
  </si>
  <si>
    <t>中铁上海工程局集团有限公司第四分公司潍烟铁路ZQSG-6项目部</t>
  </si>
  <si>
    <t>已竣未结</t>
  </si>
  <si>
    <t>否</t>
  </si>
  <si>
    <t>铁路项目</t>
  </si>
  <si>
    <t>中铁上海工程局集团有限公司潍烟铁路ZQSG-6项目部</t>
  </si>
  <si>
    <t xml:space="preserve">-  </t>
  </si>
  <si>
    <t>沈白铁路吉林段TJ-5标三分部</t>
  </si>
  <si>
    <t>中铁上海工程局集团有限公司第四分公司沈白高铁吉林段TJ-5标项目经理部三分部</t>
  </si>
  <si>
    <t>中铁上海工程局集团有限公司沈白高铁吉林段TJ-5标项目总包部</t>
  </si>
  <si>
    <t>郑万铁路项目部一工区</t>
  </si>
  <si>
    <t>中铁上海工程局集团郑万铁路重庆段土建4标项目经理部一工区</t>
  </si>
  <si>
    <t>中铁上海工程局集团有限公司郑万铁路重庆段土建4标项目经理部</t>
  </si>
  <si>
    <t>郑万铁路项目部二工区</t>
  </si>
  <si>
    <t>中铁上海工程局集团郑万铁路重庆段土建4标项目经理部二工区</t>
  </si>
  <si>
    <t>中铁上海工程局集团有限公司郑万铁路重庆段土建5标项目经理部</t>
  </si>
  <si>
    <t>郑万铁路项目部三工区</t>
  </si>
  <si>
    <t>中铁上海工程局集团郑万铁路重庆段土建4标项目经理部三工区</t>
  </si>
  <si>
    <t>中铁上海工程局集团有限公司郑万铁路重庆段土建6标项目经理部</t>
  </si>
  <si>
    <t>朔黄铁路4标项目</t>
  </si>
  <si>
    <t>中铁上海工程局集团四公司清算组</t>
  </si>
  <si>
    <t>已竣已结</t>
  </si>
  <si>
    <t>朔黄铁路发展有限责任公司</t>
  </si>
  <si>
    <t>朔黄铁路8标项目</t>
  </si>
  <si>
    <t>察哈素铁路项目部</t>
  </si>
  <si>
    <t>中铁九局集团有限公司察哈素铁路工程项目经理部</t>
  </si>
  <si>
    <t>停工</t>
  </si>
  <si>
    <t>中铁工程咨询集团有限公司</t>
  </si>
  <si>
    <t>白乌铁路项目部</t>
  </si>
  <si>
    <t>中铁九局白阿铁路葛乌段项目部</t>
  </si>
  <si>
    <t>蒙华铁路项目部</t>
  </si>
  <si>
    <t>中铁上海工程局集团蒙华铁路MHTJ-16标段项目经理部三工区</t>
  </si>
  <si>
    <t>中铁上海工程局集团蒙华铁路MHTJ-16标段项目总包部</t>
  </si>
  <si>
    <t>京雄一分部（应收局指）</t>
  </si>
  <si>
    <t>中铁上海工程局集团四公司新建京雄城际铁路五标项目一分部</t>
  </si>
  <si>
    <t>中铁上海工程局集团有限公司新建京雄城际铁路五标项目部</t>
  </si>
  <si>
    <t>京雄一分部（应收七公司混凝土销售款）</t>
  </si>
  <si>
    <t>中铁上海工程局集团第七工程有限公司京雄三分部</t>
  </si>
  <si>
    <t>京雄二分部（应收局指）</t>
  </si>
  <si>
    <t>中铁上海工程局集团四公司新建京雄城际铁路五标项目二分部</t>
  </si>
  <si>
    <t>京雄二分部（应收中交一航局）</t>
  </si>
  <si>
    <t>中交第一航务工程局有限公司</t>
  </si>
  <si>
    <t>京雄制梁场（应收局指）</t>
  </si>
  <si>
    <t>中铁上海工程局集团四公司雄县制梁场</t>
  </si>
  <si>
    <t>京雄制梁场（应收中电建路桥）</t>
  </si>
  <si>
    <t>固安西梁场（应收局指）</t>
  </si>
  <si>
    <t>中铁上海工程局集团四公司固安西制梁场</t>
  </si>
  <si>
    <t>固安西梁场（应收七公司混凝土销售款）</t>
  </si>
  <si>
    <t>中铁上海工程局集团七公司新建京雄城际铁路五标项目部三分部</t>
  </si>
  <si>
    <t>朔黄铁路高路堑护坡项目</t>
  </si>
  <si>
    <t>中铁上海工程局集团第四事业部清算组</t>
  </si>
  <si>
    <t>九景衢铁路项目部</t>
  </si>
  <si>
    <t>中铁六局集团有限公司九景衢铁路JQJXZQ-4标项目部二分部</t>
  </si>
  <si>
    <t>中铁六局集团有限公司九景衢铁路JQJXZQ-4标项目部</t>
  </si>
  <si>
    <t>包银铁路工程项目部</t>
  </si>
  <si>
    <t>中铁上海工程局集团有限公司第四分公司包银高铁工程项目经理部</t>
  </si>
  <si>
    <t>中铁上海工程局集团有限公司包银铁路BYZQ-01标段项目总包部</t>
  </si>
  <si>
    <t>石雄铁路3标项目部</t>
  </si>
  <si>
    <t>中铁上海工程局集团有限公司石雄铁路SXZQ 3标项目经理部</t>
  </si>
  <si>
    <t>在建</t>
  </si>
  <si>
    <t>是</t>
  </si>
  <si>
    <t>天津地铁Z2线项目部</t>
  </si>
  <si>
    <t>中铁上海工程局集团有限公司天津地铁Z2线06标项目经理部</t>
  </si>
  <si>
    <t>地铁项目</t>
  </si>
  <si>
    <t>中国中铁股份有限公司天津市轨道交通Z2线一期工程PPP项目总承包部</t>
  </si>
  <si>
    <t>天津地铁4号线2标项目部</t>
  </si>
  <si>
    <t>中铁上海工程局集团天津地铁4号线土建二工区</t>
  </si>
  <si>
    <t>中国中铁股份有限公司天津地铁4号线PPP项目北段工程总承包部</t>
  </si>
  <si>
    <t>天津地铁Z4线4标项目部</t>
  </si>
  <si>
    <t>中铁上海工程局集团天津轨道交通Z4线一期工程土建施工总包部</t>
  </si>
  <si>
    <t>收尾</t>
  </si>
  <si>
    <t>天津地铁10号线项目部</t>
  </si>
  <si>
    <t>中铁上海工程局集团四公司天津地铁10号线项目部</t>
  </si>
  <si>
    <t>石家庄地铁2号线02标项目部</t>
  </si>
  <si>
    <t>中铁上海工程局集团石家庄市城市轨道2号线一期工程02标段总包部</t>
  </si>
  <si>
    <t>中国中铁股份有限公司石家庄地铁2号线工程建设指挥部</t>
  </si>
  <si>
    <t>石家庄地铁1号线01标项目部</t>
  </si>
  <si>
    <t>中国中铁股份有限公司石家庄地铁1号线工程建设指挥部</t>
  </si>
  <si>
    <t>呼和浩特地铁1号线项目部</t>
  </si>
  <si>
    <t>中铁上海工程局集团呼和浩特市轨道交通1号线一期工程12标总包部</t>
  </si>
  <si>
    <t>中国中铁股份有限公司呼和浩特市轨道交通1号线一期工程建设指挥部</t>
  </si>
  <si>
    <t>天津地铁Z4、Z2共建段项目部</t>
  </si>
  <si>
    <t>中铁上海工程局集团有限公司天津轨道交通Z4线一期工程科技大学站~北塘站区间项目经理部</t>
  </si>
  <si>
    <t>待建</t>
  </si>
  <si>
    <t>濮新高速公路项目部</t>
  </si>
  <si>
    <t>中铁上海工程局集团有限公司濮新高速公路宁沈段项目经理部</t>
  </si>
  <si>
    <t>公路项目</t>
  </si>
  <si>
    <t>中铁发展投资有限公司濮新高速公路宁沈段工程指挥部</t>
  </si>
  <si>
    <t>烟长高速公路项目部</t>
  </si>
  <si>
    <t>中铁上海工程局集团长春工程有限公司延长高速烟长段项目经理部</t>
  </si>
  <si>
    <t>中铁吉林投资建设有限公司</t>
  </si>
  <si>
    <t>国道109高速公路项目部</t>
  </si>
  <si>
    <t>中铁上海工程局集团国道109高速公路工程项目经理部</t>
  </si>
  <si>
    <t>中国中铁股份有限公司国道109高速公路工程总承包部</t>
  </si>
  <si>
    <t>门头沟乡村公路项目部</t>
  </si>
  <si>
    <t>新伊高速公路项目部</t>
  </si>
  <si>
    <t>中铁上海局新伊高速公路项目总包部</t>
  </si>
  <si>
    <t>中铁（河南）新川高速公路有限公司</t>
  </si>
  <si>
    <t>津石高速公路九标项目部</t>
  </si>
  <si>
    <t>中铁上海工程局集团天津市津石高速公路工程九标项目经理部</t>
  </si>
  <si>
    <t>长平改扩建CP05项目部</t>
  </si>
  <si>
    <t>中国中铁股份有限公司上海事业部</t>
  </si>
  <si>
    <t>邹平月河三路市政项目部</t>
  </si>
  <si>
    <t>市政项目</t>
  </si>
  <si>
    <t>本桓高速三工区二分部</t>
  </si>
  <si>
    <t>中铁上海工程局集团有限公司辽宁本桓高速公路PPP项目三工区项目经理部二分部</t>
  </si>
  <si>
    <t>中铁上海工程局集团有限公司辽宁本桓高速公路PPP项目三工区项目经理部</t>
  </si>
  <si>
    <t>天津滨海西站市政配套项目部</t>
  </si>
  <si>
    <t>中铁上海工程局集团津秦客专滨海站市政工程项目经理部</t>
  </si>
  <si>
    <t>天津滨海远年住房和老旧小区改造项目部</t>
  </si>
  <si>
    <t>中铁上海工程局集团有限公司滨海新区远年住房老旧小区改造项目经理部</t>
  </si>
  <si>
    <t>隔离点改造项目</t>
  </si>
  <si>
    <t>其他项目</t>
  </si>
  <si>
    <t>呼市金海路改造工程项目部</t>
  </si>
  <si>
    <t>天津津塘路泵站项目部</t>
  </si>
  <si>
    <t>沈阳沈新路沈辽路节点工程项目部</t>
  </si>
  <si>
    <t>中铁上海工程局集团四公司沈新路、沈辽路节点工程项目经理部</t>
  </si>
  <si>
    <t>天津欣嘉园市政设施一标项目部</t>
  </si>
  <si>
    <t>中铁上海工程局集团滨海欣嘉园二期市政工程一标项目经理部</t>
  </si>
  <si>
    <t>天津滨海新区建投房地产开发有限公司</t>
  </si>
  <si>
    <t>沈阳截污工程四标项目部</t>
  </si>
  <si>
    <t>中铁上海工程局集团四公司运河水系综合治理工程南运河截污四标项目部</t>
  </si>
  <si>
    <t>沈阳快速路项目部</t>
  </si>
  <si>
    <t>中铁上海局沈阳快速路PPP项目总包部</t>
  </si>
  <si>
    <t>中国中铁股份有限公司沈阳快速路项目部</t>
  </si>
  <si>
    <t>沈阳浑河桥项目</t>
  </si>
  <si>
    <t>沈阳市快速干道系统工程建设指挥部</t>
  </si>
  <si>
    <t>霸州112国道市政工程项目部</t>
  </si>
  <si>
    <t>中铁上海工程局霸州112国道环境综合治理改造提升市政工程项目部</t>
  </si>
  <si>
    <t>霸州北站站前广场景观项目部、霸州新区站前路项目部</t>
  </si>
  <si>
    <t>日照道路修缮项目部</t>
  </si>
  <si>
    <t>中铁上海工程局集团有限公司日钢中路道路修缮项目经理部</t>
  </si>
  <si>
    <t>雄安新区E1、E2道路工程项目部</t>
  </si>
  <si>
    <t>中铁上海工程局集团有限公司雄安雄东片区道路工程项目经理部</t>
  </si>
  <si>
    <t>天津市容环境整治工程项目部</t>
  </si>
  <si>
    <t>天津塘沽雨水管网项目部</t>
  </si>
  <si>
    <t>天津渤海石油家属区改造项目部</t>
  </si>
  <si>
    <t>沈阳东一环快速路项目部</t>
  </si>
  <si>
    <t>中铁上海局沈阳市东一环快速路工程三标总包部</t>
  </si>
  <si>
    <t>乌海铁路专用线项目部</t>
  </si>
  <si>
    <t>包钢集团设计研究院（有限公司）</t>
  </si>
  <si>
    <t>乌海拉僧庙站改项目部</t>
  </si>
  <si>
    <t>包钢集团有限公司</t>
  </si>
  <si>
    <t>富港路道路排水项目</t>
  </si>
  <si>
    <t>中海油研发基地项目</t>
  </si>
  <si>
    <t>中海油田服务股份有限公司</t>
  </si>
  <si>
    <t>天津经五路道排一标项目部</t>
  </si>
  <si>
    <t>天津开发区南部新兴产业区开发建设有限公司</t>
  </si>
  <si>
    <t>天津红旗路互通式立交项目部</t>
  </si>
  <si>
    <t>天津红旗路立交桥照明工程项目部</t>
  </si>
  <si>
    <t>一汽大众项目</t>
  </si>
  <si>
    <t>天津开发区一汽大众基地开发建设有限公司</t>
  </si>
  <si>
    <t>天津渤海七条路市政项目部</t>
  </si>
  <si>
    <t>中铁上海工程局天津临港经济区渤海三十三路等七条路市政工程总包部</t>
  </si>
  <si>
    <t>天津宝坻发电一期项目部、天津宝坻发电二期项目部</t>
  </si>
  <si>
    <t>中铁上海工程局集团宝坻区生活垃圾焚烧发电一期工程项目经理部</t>
  </si>
  <si>
    <t>北污</t>
  </si>
  <si>
    <t>国电东北环保产业集团有限公司</t>
  </si>
  <si>
    <t>沈阳城区动静态交通融合提升PPP项目部</t>
  </si>
  <si>
    <t>中铁上海工程局集团第四工程有限公司沈阳动静态交通PPP项目经理部</t>
  </si>
  <si>
    <t>中铁东北投资发展有限公司</t>
  </si>
  <si>
    <t>沈阳城区动静态交通融合提升PPP项目部-合同外（管理型平进平出）</t>
  </si>
  <si>
    <t>天津南港工业区道路工程项目部</t>
  </si>
  <si>
    <t>中铁上海工程局集团天津市津塘路造纸五厂项目一标段工程项目经理部</t>
  </si>
  <si>
    <t>沈阳临空加工厂房项目部</t>
  </si>
  <si>
    <r>
      <rPr>
        <sz val="9"/>
        <color rgb="FF000000"/>
        <rFont val="宋体"/>
        <charset val="134"/>
      </rPr>
      <t>中铁上海工程局集团第四工程有限公司沈阳临空经济区加工厂房项目</t>
    </r>
    <r>
      <rPr>
        <sz val="9"/>
        <color rgb="FF000000"/>
        <rFont val="Tahoma"/>
        <charset val="134"/>
      </rPr>
      <t>27</t>
    </r>
    <r>
      <rPr>
        <sz val="9"/>
        <color rgb="FF000000"/>
        <rFont val="宋体"/>
        <charset val="134"/>
      </rPr>
      <t>号地块一期工程项目经理部</t>
    </r>
  </si>
  <si>
    <t>房建项目</t>
  </si>
  <si>
    <t>廊坊临空经济区回迁安置房项目部</t>
  </si>
  <si>
    <t>中铁上海工程局集团有限公司廊坊临空经济区回迁安置房项目经理部</t>
  </si>
  <si>
    <t>中铁河北投资开发建设有限公司</t>
  </si>
  <si>
    <t>天津津塘路造纸五厂一标项目部</t>
  </si>
  <si>
    <t>天津造纸五厂幼儿园项目部</t>
  </si>
  <si>
    <t>天津格调石溪花园项目部</t>
  </si>
  <si>
    <t>中铁上海工程局集团有限公司天津市格调石溪花园项目经理部</t>
  </si>
  <si>
    <t>天津动漫园09地块项目部</t>
  </si>
  <si>
    <t>中铁上海工程局集团有限公司动漫园09地块项目经理部</t>
  </si>
  <si>
    <t>蒙华房建</t>
  </si>
  <si>
    <t>浩吉铁路股份有限公司</t>
  </si>
  <si>
    <t>天津银川道小学项目部</t>
  </si>
  <si>
    <t>天津港东疆建设开发有限公司</t>
  </si>
  <si>
    <t>沧州城市更新项目部</t>
  </si>
  <si>
    <t>中铁上海工程局集团有限公司沧州市城市更新运河城西片区1标项目经理部</t>
  </si>
  <si>
    <t>中铁投资集团有限公司沧州市城市更新项目总承包部</t>
  </si>
  <si>
    <t>呼市二中如意校区改扩建项目部</t>
  </si>
  <si>
    <t>中铁上海工程局集团有限公司呼和浩特市第二中学如意校区扩建项目(一期)施工项目经理部</t>
  </si>
  <si>
    <t>呼市三十九中项目部</t>
  </si>
  <si>
    <t>中铁上海工程局集团有限公司呼市第三十九中学分校和幼儿园与配套工程项目经理部</t>
  </si>
  <si>
    <t>沈阳停缓建项目部</t>
  </si>
  <si>
    <t>中铁上海工程局集团有限公司沈阳市停缓建项目续建一期工程项目经理部</t>
  </si>
  <si>
    <t>沈阳回龙岗应急工程项目部</t>
  </si>
  <si>
    <t>沈阳永祥文化艺术园有限公司</t>
  </si>
  <si>
    <t>天津中心渔港05地块项目部</t>
  </si>
  <si>
    <t>中铁上海工程局集团有限公司天津中心渔港11一05地块项目经理部</t>
  </si>
  <si>
    <t>天津中心渔港07地块项目部</t>
  </si>
  <si>
    <t>天津中铁装备场地平整项目部</t>
  </si>
  <si>
    <t>天津嘉庭公寓装修项目部</t>
  </si>
  <si>
    <t>安阳智能产业园项目部</t>
  </si>
  <si>
    <t>中铁上海工程局集团有限公司安阳县智能制造产业园区基础设施项目经理部</t>
  </si>
  <si>
    <t>呼市站前立体停车库项目部</t>
  </si>
  <si>
    <t>沈阳康平农产品直播基地项目部</t>
  </si>
  <si>
    <t>中铁上海工程局集团第四工程有限公司康平县农产品电商直播基地工程项目经理部</t>
  </si>
  <si>
    <t>沧州职教园项目部</t>
  </si>
  <si>
    <t>中铁上海工程局集团有限公司沧州市工业职业教育园项目沧州工业职业学院项目经理部</t>
  </si>
  <si>
    <t>沈阳康平高中项目部</t>
  </si>
  <si>
    <t>中铁上海工程局集团有限公司康平高中教学楼、食堂新建工程项目经理部</t>
  </si>
  <si>
    <t>沈阳康平一中项目部</t>
  </si>
  <si>
    <t>沈阳康平高标准农田项目部</t>
  </si>
  <si>
    <t>邯郸大名防洪及安全区建设项目部</t>
  </si>
  <si>
    <t>中铁上海工程局集团有限公司大名县全域水网建设工程项目施工第二标段项目经理部</t>
  </si>
  <si>
    <t>水务项目</t>
  </si>
  <si>
    <t>邯郸大名水网建设工程项目部</t>
  </si>
  <si>
    <t>大名县水利局</t>
  </si>
  <si>
    <t>津潍铁路管线迁改工程项目部</t>
  </si>
  <si>
    <t>鸡西智算中心项目部</t>
  </si>
  <si>
    <t>沈阳康平悦明小学项目部</t>
  </si>
  <si>
    <t>沈阳康平中心幼儿园项目部</t>
  </si>
  <si>
    <t>沈阳临空物流园项目部</t>
  </si>
  <si>
    <t>焦平铁路项目部</t>
  </si>
  <si>
    <t>中国铁路设计集团有限公司</t>
  </si>
  <si>
    <t>北交大雄安校区国家轨道安评中心项目</t>
  </si>
  <si>
    <t>天津地铁B1线一期工程装修工程</t>
  </si>
  <si>
    <t>天津滨海新区建投轨道交通建设有限公司</t>
  </si>
  <si>
    <t>社会事业管理中心</t>
  </si>
  <si>
    <t>中铁上海工程局集团第四工程有限公司社会事业管理中心</t>
  </si>
  <si>
    <t>区域指挥部</t>
  </si>
  <si>
    <t>中铁上海工程局集团第四工程有限公司区域中心指挥部</t>
  </si>
  <si>
    <t>试验检测中心</t>
  </si>
  <si>
    <t>中铁上海工程局集团第四工程有限公司试验检测中心</t>
  </si>
  <si>
    <t>劳尔项目</t>
  </si>
  <si>
    <t>西区泵站项目</t>
  </si>
  <si>
    <t>西区夏青路项目</t>
  </si>
  <si>
    <t>四公司机关</t>
  </si>
  <si>
    <t>中铁上海工程局集团第四工程有限公司机关</t>
  </si>
  <si>
    <t>桥梁事业部</t>
  </si>
  <si>
    <t>中铁上海工程局集团第四工程有限公司桥梁事业部</t>
  </si>
  <si>
    <t>机械租赁中心</t>
  </si>
  <si>
    <t>中铁上海工程局集团四公司锦州物资机械租赁管理中心</t>
  </si>
  <si>
    <t>机电事业部</t>
  </si>
  <si>
    <t>中铁上海工程局集团第四工程有限公司机电安装事业部</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</si>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</sst>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宋体"/>
      <charset val="134"/>
      <scheme val="minor"/>
    </font>
    <font>
      <sz val="20"/>
      <color rgb="FF000000"/>
      <name val="黑体"/>
      <charset val="134"/>
    </font>
    <font>
      <sz val="12"/>
      <color rgb="FF000000"/>
      <name val="仿宋"/>
      <charset val="134"/>
    </font>
    <font>
      <sz val="10"/>
      <color rgb="FF000000"/>
      <name val="Arial"/>
      <charset val="134"/>
    </font>
    <font>
      <sz val="9"/>
      <color rgb="FF000000"/>
      <name val="仿宋"/>
      <charset val="134"/>
    </font>
    <font>
      <sz val="12"/>
      <color rgb="FF000000"/>
      <name val="Arial"/>
      <charset val="134"/>
    </font>
    <font>
      <sz val="9"/>
      <color rgb="FF000000"/>
      <name val="Arial"/>
      <charset val="134"/>
    </font>
    <font>
      <sz val="10"/>
      <color rgb="FF000000"/>
      <name val="仿宋"/>
      <charset val="134"/>
    </font>
    <font>
      <sz val="10"/>
      <color rgb="FFFF0000"/>
      <name val="仿宋"/>
      <charset val="134"/>
    </font>
    <font>
      <sz val="9"/>
      <color rgb="FF000000"/>
      <name val="宋体"/>
      <charset val="134"/>
    </font>
    <font>
      <b/>
      <sz val="10"/>
      <color rgb="FF000000"/>
      <name val="仿宋"/>
      <charset val="134"/>
    </font>
    <font>
      <sz val="11"/>
      <color rgb="FF00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color rgb="FF000000"/>
      <name val="Tahoma"/>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top style="medium">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top/>
      <bottom style="hair">
        <color rgb="FF000000"/>
      </bottom>
      <diagonal/>
    </border>
    <border>
      <left style="hair">
        <color rgb="FF000000"/>
      </left>
      <right style="medium">
        <color rgb="FF000000"/>
      </right>
      <top/>
      <bottom style="hair">
        <color rgb="FF000000"/>
      </bottom>
      <diagonal/>
    </border>
    <border>
      <left/>
      <right style="hair">
        <color rgb="FF000000"/>
      </right>
      <top/>
      <bottom style="hair">
        <color rgb="FF000000"/>
      </bottom>
      <diagonal/>
    </border>
    <border>
      <left style="hair">
        <color rgb="FF000000"/>
      </left>
      <right style="medium">
        <color rgb="FF000000"/>
      </right>
      <top style="hair">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medium">
        <color rgb="FF000000"/>
      </left>
      <right style="hair">
        <color rgb="FF000000"/>
      </right>
      <top style="hair">
        <color rgb="FF000000"/>
      </top>
      <bottom style="medium">
        <color rgb="FF000000"/>
      </bottom>
      <diagonal/>
    </border>
    <border>
      <left style="hair">
        <color rgb="FF000000"/>
      </left>
      <right style="hair">
        <color rgb="FF000000"/>
      </right>
      <top style="hair">
        <color rgb="FF000000"/>
      </top>
      <bottom style="medium">
        <color rgb="FF000000"/>
      </bottom>
      <diagonal/>
    </border>
    <border>
      <left style="hair">
        <color rgb="FF000000"/>
      </left>
      <right style="medium">
        <color rgb="FF000000"/>
      </right>
      <top style="hair">
        <color rgb="FF000000"/>
      </top>
      <bottom style="medium">
        <color rgb="FF000000"/>
      </bottom>
      <diagonal/>
    </border>
    <border>
      <left/>
      <right style="hair">
        <color rgb="FF000000"/>
      </right>
      <top style="hair">
        <color rgb="FF000000"/>
      </top>
      <bottom style="medium">
        <color rgb="FF000000"/>
      </bottom>
      <diagonal/>
    </border>
    <border>
      <left style="hair">
        <color rgb="FF000000"/>
      </left>
      <right/>
      <top style="hair">
        <color rgb="FF000000"/>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2" borderId="25"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26" applyNumberFormat="0" applyFill="0" applyAlignment="0" applyProtection="0">
      <alignment vertical="center"/>
    </xf>
    <xf numFmtId="0" fontId="18" fillId="0" borderId="26" applyNumberFormat="0" applyFill="0" applyAlignment="0" applyProtection="0">
      <alignment vertical="center"/>
    </xf>
    <xf numFmtId="0" fontId="19" fillId="0" borderId="27" applyNumberFormat="0" applyFill="0" applyAlignment="0" applyProtection="0">
      <alignment vertical="center"/>
    </xf>
    <xf numFmtId="0" fontId="19" fillId="0" borderId="0" applyNumberFormat="0" applyFill="0" applyBorder="0" applyAlignment="0" applyProtection="0">
      <alignment vertical="center"/>
    </xf>
    <xf numFmtId="0" fontId="20" fillId="3" borderId="28" applyNumberFormat="0" applyAlignment="0" applyProtection="0">
      <alignment vertical="center"/>
    </xf>
    <xf numFmtId="0" fontId="21" fillId="4" borderId="29" applyNumberFormat="0" applyAlignment="0" applyProtection="0">
      <alignment vertical="center"/>
    </xf>
    <xf numFmtId="0" fontId="22" fillId="4" borderId="28" applyNumberFormat="0" applyAlignment="0" applyProtection="0">
      <alignment vertical="center"/>
    </xf>
    <xf numFmtId="0" fontId="23" fillId="5" borderId="30" applyNumberFormat="0" applyAlignment="0" applyProtection="0">
      <alignment vertical="center"/>
    </xf>
    <xf numFmtId="0" fontId="24" fillId="0" borderId="31" applyNumberFormat="0" applyFill="0" applyAlignment="0" applyProtection="0">
      <alignment vertical="center"/>
    </xf>
    <xf numFmtId="0" fontId="25" fillId="0" borderId="32" applyNumberFormat="0" applyFill="0" applyAlignment="0" applyProtection="0">
      <alignment vertical="center"/>
    </xf>
    <xf numFmtId="0" fontId="26" fillId="6" borderId="0" applyNumberFormat="0" applyBorder="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0"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cellStyleXfs>
  <cellXfs count="66">
    <xf numFmtId="0" fontId="0" fillId="0" borderId="0" xfId="0">
      <alignment vertical="center"/>
    </xf>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center" vertical="center"/>
    </xf>
    <xf numFmtId="0" fontId="4" fillId="0" borderId="0" xfId="0" applyFont="1" applyAlignment="1">
      <alignment horizontal="left" vertical="center"/>
    </xf>
    <xf numFmtId="10" fontId="4" fillId="0" borderId="0" xfId="0" applyNumberFormat="1" applyFont="1" applyAlignment="1">
      <alignment horizontal="left" vertical="center"/>
    </xf>
    <xf numFmtId="43" fontId="1" fillId="0" borderId="0" xfId="0" applyNumberFormat="1" applyFont="1" applyAlignment="1">
      <alignment horizontal="left" vertical="center"/>
    </xf>
    <xf numFmtId="57" fontId="5" fillId="0" borderId="0" xfId="0" applyNumberFormat="1" applyFont="1" applyAlignment="1">
      <alignment horizontal="left" vertical="center"/>
    </xf>
    <xf numFmtId="57" fontId="5" fillId="0" borderId="0" xfId="0" applyNumberFormat="1" applyFont="1">
      <alignment vertical="center"/>
    </xf>
    <xf numFmtId="0" fontId="5" fillId="0" borderId="0" xfId="0" applyFont="1" applyAlignment="1">
      <alignment horizontal="center" vertical="center" wrapText="1"/>
    </xf>
    <xf numFmtId="0" fontId="5" fillId="0" borderId="0" xfId="0" applyFont="1" applyAlignment="1">
      <alignment vertical="top" wrapText="1"/>
    </xf>
    <xf numFmtId="43" fontId="6" fillId="0" borderId="0" xfId="0" applyNumberFormat="1" applyFont="1" applyAlignment="1">
      <alignment horizontal="center" vertical="center" wrapText="1"/>
    </xf>
    <xf numFmtId="10" fontId="6" fillId="0" borderId="0" xfId="0" applyNumberFormat="1" applyFont="1" applyAlignment="1">
      <alignment horizontal="center" vertical="center" wrapText="1"/>
    </xf>
    <xf numFmtId="10" fontId="5" fillId="0" borderId="0" xfId="0" applyNumberFormat="1" applyFont="1" applyAlignment="1">
      <alignment horizontal="center" vertical="center" wrapText="1"/>
    </xf>
    <xf numFmtId="43" fontId="5" fillId="0" borderId="0" xfId="0" applyNumberFormat="1" applyFont="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43" fontId="2" fillId="0" borderId="3" xfId="0" applyNumberFormat="1"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43" fontId="2" fillId="0" borderId="2" xfId="0" applyNumberFormat="1" applyFont="1" applyBorder="1" applyAlignment="1">
      <alignment horizontal="center" vertical="center" wrapText="1"/>
    </xf>
    <xf numFmtId="10" fontId="2" fillId="0" borderId="6" xfId="0" applyNumberFormat="1" applyFont="1" applyBorder="1" applyAlignment="1">
      <alignment horizontal="center" vertical="center" wrapText="1"/>
    </xf>
    <xf numFmtId="43" fontId="2" fillId="0" borderId="7" xfId="0" applyNumberFormat="1" applyFont="1" applyBorder="1" applyAlignment="1">
      <alignment horizontal="center" vertical="center" wrapText="1"/>
    </xf>
    <xf numFmtId="43" fontId="2" fillId="0" borderId="8" xfId="0" applyNumberFormat="1" applyFont="1" applyBorder="1" applyAlignment="1">
      <alignment horizontal="center" vertical="center" wrapText="1"/>
    </xf>
    <xf numFmtId="43" fontId="2" fillId="0" borderId="9" xfId="0" applyNumberFormat="1" applyFont="1" applyBorder="1" applyAlignment="1">
      <alignment horizontal="center" vertical="center" wrapText="1"/>
    </xf>
    <xf numFmtId="0" fontId="7" fillId="0" borderId="10" xfId="0" applyFont="1" applyBorder="1" applyAlignment="1">
      <alignment horizontal="left" vertical="center" wrapText="1"/>
    </xf>
    <xf numFmtId="0" fontId="7" fillId="0" borderId="11" xfId="0" applyFont="1" applyBorder="1" applyAlignment="1">
      <alignment horizontal="left" vertical="center" wrapText="1"/>
    </xf>
    <xf numFmtId="0" fontId="7" fillId="0" borderId="12" xfId="0" applyFont="1" applyBorder="1" applyAlignment="1">
      <alignment horizontal="center" vertical="center"/>
    </xf>
    <xf numFmtId="0" fontId="4" fillId="0" borderId="12" xfId="0" applyFont="1" applyBorder="1" applyAlignment="1">
      <alignment horizontal="center" vertical="center"/>
    </xf>
    <xf numFmtId="0" fontId="7" fillId="0" borderId="13" xfId="0" applyFont="1" applyBorder="1" applyAlignment="1">
      <alignment horizontal="center" vertical="center" wrapText="1"/>
    </xf>
    <xf numFmtId="0" fontId="7" fillId="0" borderId="12" xfId="0" applyFont="1" applyBorder="1" applyAlignment="1">
      <alignment horizontal="left" vertical="center" wrapText="1"/>
    </xf>
    <xf numFmtId="43" fontId="7" fillId="0" borderId="14" xfId="0" applyNumberFormat="1" applyFont="1" applyBorder="1" applyAlignment="1">
      <alignment horizontal="center" vertical="center" wrapText="1"/>
    </xf>
    <xf numFmtId="10" fontId="7" fillId="0" borderId="15" xfId="0" applyNumberFormat="1" applyFont="1" applyBorder="1" applyAlignment="1">
      <alignment horizontal="center" vertical="center" wrapText="1"/>
    </xf>
    <xf numFmtId="43" fontId="7" fillId="0" borderId="12" xfId="0" applyNumberFormat="1" applyFont="1" applyBorder="1" applyAlignment="1">
      <alignment horizontal="center" vertical="center" wrapText="1"/>
    </xf>
    <xf numFmtId="43" fontId="7" fillId="0" borderId="13" xfId="0" applyNumberFormat="1" applyFont="1" applyBorder="1" applyAlignment="1">
      <alignment horizontal="center" vertical="center" wrapText="1"/>
    </xf>
    <xf numFmtId="0" fontId="7" fillId="0" borderId="11" xfId="0" applyFont="1" applyBorder="1" applyAlignment="1">
      <alignment horizontal="center" vertical="center"/>
    </xf>
    <xf numFmtId="43" fontId="7" fillId="0" borderId="16" xfId="0" applyNumberFormat="1" applyFont="1" applyBorder="1" applyAlignment="1">
      <alignment horizontal="center" vertical="center" wrapText="1"/>
    </xf>
    <xf numFmtId="43" fontId="7" fillId="0" borderId="11" xfId="0" applyNumberFormat="1" applyFont="1" applyBorder="1" applyAlignment="1">
      <alignment horizontal="center" vertical="center" wrapText="1"/>
    </xf>
    <xf numFmtId="0" fontId="7" fillId="0" borderId="17" xfId="0" applyFont="1" applyBorder="1" applyAlignment="1">
      <alignment horizontal="left" vertical="center" wrapText="1"/>
    </xf>
    <xf numFmtId="0" fontId="8" fillId="0" borderId="11" xfId="0" applyFont="1" applyBorder="1" applyAlignment="1">
      <alignment horizontal="center" vertical="center"/>
    </xf>
    <xf numFmtId="0" fontId="4" fillId="0" borderId="11" xfId="0" applyFont="1" applyBorder="1" applyAlignment="1">
      <alignment horizontal="center" vertical="center"/>
    </xf>
    <xf numFmtId="0" fontId="7" fillId="0" borderId="18" xfId="0" applyFont="1" applyBorder="1" applyAlignment="1">
      <alignment horizontal="center" vertical="center" wrapText="1"/>
    </xf>
    <xf numFmtId="0" fontId="9" fillId="0" borderId="11" xfId="0" applyFont="1" applyBorder="1" applyAlignment="1">
      <alignment horizontal="left" vertical="center" wrapText="1"/>
    </xf>
    <xf numFmtId="43" fontId="7" fillId="0" borderId="17" xfId="0" applyNumberFormat="1" applyFont="1" applyBorder="1" applyAlignment="1">
      <alignment horizontal="center" vertical="center" wrapText="1"/>
    </xf>
    <xf numFmtId="43" fontId="7" fillId="0" borderId="18" xfId="0" applyNumberFormat="1" applyFont="1" applyBorder="1" applyAlignment="1">
      <alignment horizontal="center" vertical="center" wrapText="1"/>
    </xf>
    <xf numFmtId="0" fontId="7" fillId="0" borderId="11" xfId="0" applyFont="1" applyBorder="1" applyAlignment="1">
      <alignment horizontal="center" vertical="center" wrapText="1"/>
    </xf>
    <xf numFmtId="0" fontId="7" fillId="0" borderId="11" xfId="0" applyFont="1" applyBorder="1" applyAlignment="1">
      <alignment vertical="center" wrapText="1"/>
    </xf>
    <xf numFmtId="10" fontId="7" fillId="0" borderId="19" xfId="0" applyNumberFormat="1" applyFont="1" applyBorder="1" applyAlignment="1">
      <alignment horizontal="center" vertical="center" wrapText="1"/>
    </xf>
    <xf numFmtId="0" fontId="10" fillId="0" borderId="20" xfId="0" applyFont="1" applyBorder="1" applyAlignment="1">
      <alignment horizontal="center" vertical="center" wrapText="1"/>
    </xf>
    <xf numFmtId="0" fontId="10" fillId="0" borderId="21" xfId="0" applyFont="1" applyBorder="1" applyAlignment="1">
      <alignment horizontal="left" vertical="center" wrapText="1"/>
    </xf>
    <xf numFmtId="0" fontId="7" fillId="0" borderId="21" xfId="0" applyFont="1" applyBorder="1" applyAlignment="1">
      <alignment horizontal="center" vertical="center"/>
    </xf>
    <xf numFmtId="0" fontId="10" fillId="0" borderId="21" xfId="0" applyFont="1" applyBorder="1" applyAlignment="1">
      <alignment horizontal="center" vertical="center" wrapText="1"/>
    </xf>
    <xf numFmtId="0" fontId="10" fillId="0" borderId="21" xfId="0" applyFont="1" applyBorder="1" applyAlignment="1">
      <alignment vertical="top" wrapText="1"/>
    </xf>
    <xf numFmtId="43" fontId="10" fillId="0" borderId="22" xfId="0" applyNumberFormat="1" applyFont="1" applyBorder="1" applyAlignment="1">
      <alignment horizontal="center" vertical="center" wrapText="1"/>
    </xf>
    <xf numFmtId="10" fontId="10" fillId="0" borderId="23" xfId="0" applyNumberFormat="1" applyFont="1" applyBorder="1" applyAlignment="1">
      <alignment horizontal="center" vertical="center" wrapText="1"/>
    </xf>
    <xf numFmtId="43" fontId="10" fillId="0" borderId="21" xfId="0" applyNumberFormat="1" applyFont="1" applyBorder="1" applyAlignment="1">
      <alignment horizontal="center" vertical="center" wrapText="1"/>
    </xf>
    <xf numFmtId="43" fontId="10" fillId="0" borderId="24" xfId="0" applyNumberFormat="1" applyFont="1" applyBorder="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top" wrapText="1"/>
    </xf>
    <xf numFmtId="43" fontId="4" fillId="0" borderId="0" xfId="0" applyNumberFormat="1" applyFont="1" applyAlignment="1">
      <alignment horizontal="center" vertical="center" wrapText="1"/>
    </xf>
    <xf numFmtId="10" fontId="4" fillId="0" borderId="0" xfId="0" applyNumberFormat="1" applyFont="1" applyAlignment="1">
      <alignment horizontal="center" vertical="center" wrapText="1"/>
    </xf>
    <xf numFmtId="0" fontId="3" fillId="0" borderId="0" xfId="0" applyFont="1">
      <alignment vertical="center"/>
    </xf>
    <xf numFmtId="0" fontId="11" fillId="0" borderId="0" xfId="0" applyFont="1">
      <alignment vertical="center"/>
    </xf>
    <xf numFmtId="43" fontId="0" fillId="0" borderId="0" xfId="0" applyNumberForma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2"/>
  <sheetViews>
    <sheetView tabSelected="1" workbookViewId="0">
      <selection activeCell="E17" sqref="E17"/>
    </sheetView>
  </sheetViews>
  <sheetFormatPr defaultColWidth="8.73076923076923" defaultRowHeight="16.8" outlineLevelCol="1"/>
  <cols>
    <col min="1" max="1" width="57" customWidth="1"/>
    <col min="2" max="2" width="12.9134615384615" style="65"/>
  </cols>
  <sheetData>
    <row r="1" spans="1:2">
      <c r="A1" s="30" t="s">
        <v>0</v>
      </c>
      <c r="B1" s="65">
        <f>SUMIF(Sheet2!G:G,A1,Sheet2!H:H)</f>
        <v>14278.74</v>
      </c>
    </row>
    <row r="2" spans="1:2">
      <c r="A2" s="30" t="s">
        <v>1</v>
      </c>
      <c r="B2" s="65">
        <f>SUMIF(Sheet2!G:G,A2,Sheet2!H:H)</f>
        <v>-2628.68</v>
      </c>
    </row>
    <row r="3" spans="1:2">
      <c r="A3" s="30" t="s">
        <v>2</v>
      </c>
      <c r="B3" s="65">
        <f>SUMIF(Sheet2!G:G,A3,Sheet2!H:H)</f>
        <v>535.26</v>
      </c>
    </row>
    <row r="4" spans="1:2">
      <c r="A4" s="30" t="s">
        <v>3</v>
      </c>
      <c r="B4" s="65">
        <f>SUMIF(Sheet2!G:G,A4,Sheet2!H:H)</f>
        <v>119.92</v>
      </c>
    </row>
    <row r="5" spans="1:2">
      <c r="A5" s="30" t="s">
        <v>4</v>
      </c>
      <c r="B5" s="65">
        <f>SUMIF(Sheet2!G:G,A5,Sheet2!H:H)</f>
        <v>527.16</v>
      </c>
    </row>
    <row r="6" spans="1:2">
      <c r="A6" s="30" t="s">
        <v>5</v>
      </c>
      <c r="B6" s="65">
        <f>SUMIF(Sheet2!G:G,A6,Sheet2!H:H)</f>
        <v>3070.53</v>
      </c>
    </row>
    <row r="7" spans="1:2">
      <c r="A7" s="30" t="s">
        <v>6</v>
      </c>
      <c r="B7" s="65">
        <f>SUMIF(Sheet2!G:G,A7,Sheet2!H:H)</f>
        <v>4661.5</v>
      </c>
    </row>
    <row r="8" spans="1:2">
      <c r="A8" s="30" t="s">
        <v>7</v>
      </c>
      <c r="B8" s="65">
        <f>SUMIF(Sheet2!G:G,A8,Sheet2!H:H)</f>
        <v>1234.29</v>
      </c>
    </row>
    <row r="9" spans="1:2">
      <c r="A9" s="30" t="s">
        <v>8</v>
      </c>
      <c r="B9" s="65">
        <f>SUMIF(Sheet2!G:G,A9,Sheet2!H:H)</f>
        <v>-268</v>
      </c>
    </row>
    <row r="10" spans="1:2">
      <c r="A10" s="30" t="s">
        <v>9</v>
      </c>
      <c r="B10" s="65">
        <f>SUMIF(Sheet2!G:G,A10,Sheet2!H:H)</f>
        <v>1149.31</v>
      </c>
    </row>
    <row r="11" spans="1:2">
      <c r="A11" s="30" t="s">
        <v>10</v>
      </c>
      <c r="B11" s="65">
        <f>SUMIF(Sheet2!G:G,A11,Sheet2!H:H)</f>
        <v>930.99</v>
      </c>
    </row>
    <row r="12" spans="1:2">
      <c r="A12" s="30" t="s">
        <v>11</v>
      </c>
      <c r="B12" s="65">
        <f>SUMIF(Sheet2!G:G,A12,Sheet2!H:H)</f>
        <v>961.06</v>
      </c>
    </row>
    <row r="13" spans="1:2">
      <c r="A13" s="30" t="s">
        <v>12</v>
      </c>
      <c r="B13" s="65">
        <f>SUMIF(Sheet2!G:G,A13,Sheet2!H:H)</f>
        <v>67.56</v>
      </c>
    </row>
    <row r="14" spans="1:2">
      <c r="A14" s="30" t="s">
        <v>13</v>
      </c>
      <c r="B14" s="65">
        <f>SUMIF(Sheet2!G:G,A14,Sheet2!H:H)</f>
        <v>10451.05</v>
      </c>
    </row>
    <row r="15" spans="1:2">
      <c r="A15" s="30" t="s">
        <v>14</v>
      </c>
      <c r="B15" s="65">
        <f>SUMIF(Sheet2!G:G,A15,Sheet2!H:H)</f>
        <v>137.7</v>
      </c>
    </row>
    <row r="16" spans="1:2">
      <c r="A16" s="30" t="s">
        <v>15</v>
      </c>
      <c r="B16" s="65">
        <f>SUMIF(Sheet2!G:G,A16,Sheet2!H:H)</f>
        <v>1225.66</v>
      </c>
    </row>
    <row r="17" spans="1:2">
      <c r="A17" s="30" t="s">
        <v>16</v>
      </c>
      <c r="B17" s="65">
        <f>SUMIF(Sheet2!G:G,A17,Sheet2!H:H)</f>
        <v>1303.91</v>
      </c>
    </row>
    <row r="18" spans="1:2">
      <c r="A18" s="30" t="s">
        <v>17</v>
      </c>
      <c r="B18" s="65">
        <f>SUMIF(Sheet2!G:G,A18,Sheet2!H:H)</f>
        <v>-99.98</v>
      </c>
    </row>
    <row r="19" spans="1:2">
      <c r="A19" s="30" t="s">
        <v>18</v>
      </c>
      <c r="B19" s="65">
        <f>SUMIF(Sheet2!G:G,A19,Sheet2!H:H)</f>
        <v>267.44</v>
      </c>
    </row>
    <row r="20" spans="1:2">
      <c r="A20" s="30" t="s">
        <v>19</v>
      </c>
      <c r="B20" s="65">
        <f>SUMIF(Sheet2!G:G,A20,Sheet2!H:H)</f>
        <v>557.98</v>
      </c>
    </row>
    <row r="21" spans="1:2">
      <c r="A21" s="30" t="s">
        <v>20</v>
      </c>
      <c r="B21" s="65">
        <f>SUMIF(Sheet2!G:G,A21,Sheet2!H:H)</f>
        <v>2826.53</v>
      </c>
    </row>
    <row r="22" spans="1:2">
      <c r="A22" s="30" t="s">
        <v>21</v>
      </c>
      <c r="B22" s="65">
        <f>SUMIF(Sheet2!G:G,A22,Sheet2!H:H)</f>
        <v>389.28</v>
      </c>
    </row>
    <row r="23" spans="1:2">
      <c r="A23" s="30" t="s">
        <v>22</v>
      </c>
      <c r="B23" s="65">
        <f>SUMIF(Sheet2!G:G,A23,Sheet2!H:H)</f>
        <v>124.33</v>
      </c>
    </row>
    <row r="24" spans="1:2">
      <c r="A24" s="30" t="s">
        <v>23</v>
      </c>
      <c r="B24" s="65">
        <f>SUMIF(Sheet2!G:G,A24,Sheet2!H:H)</f>
        <v>2558.27</v>
      </c>
    </row>
    <row r="25" spans="1:2">
      <c r="A25" s="30" t="s">
        <v>24</v>
      </c>
      <c r="B25" s="65">
        <f>SUMIF(Sheet2!G:G,A25,Sheet2!H:H)</f>
        <v>13173.65</v>
      </c>
    </row>
    <row r="26" spans="1:2">
      <c r="A26" s="30" t="s">
        <v>25</v>
      </c>
      <c r="B26" s="65">
        <f>SUMIF(Sheet2!G:G,A26,Sheet2!H:H)</f>
        <v>7415.63</v>
      </c>
    </row>
    <row r="27" spans="1:2">
      <c r="A27" s="30" t="s">
        <v>26</v>
      </c>
      <c r="B27" s="65">
        <f>SUMIF(Sheet2!G:G,A27,Sheet2!H:H)</f>
        <v>1132.88</v>
      </c>
    </row>
    <row r="28" spans="1:2">
      <c r="A28" s="30" t="s">
        <v>27</v>
      </c>
      <c r="B28" s="65">
        <f>SUMIF(Sheet2!G:G,A28,Sheet2!H:H)</f>
        <v>2154.18</v>
      </c>
    </row>
    <row r="29" spans="1:2">
      <c r="A29" s="30" t="s">
        <v>28</v>
      </c>
      <c r="B29" s="65">
        <f>SUMIF(Sheet2!G:G,A29,Sheet2!H:H)</f>
        <v>10309.18</v>
      </c>
    </row>
    <row r="30" spans="1:2">
      <c r="A30" s="30" t="s">
        <v>29</v>
      </c>
      <c r="B30" s="65">
        <f>SUMIF(Sheet2!G:G,A30,Sheet2!H:H)</f>
        <v>2682.16</v>
      </c>
    </row>
    <row r="31" spans="1:2">
      <c r="A31" s="30" t="s">
        <v>30</v>
      </c>
      <c r="B31" s="65">
        <f>SUMIF(Sheet2!G:G,A31,Sheet2!H:H)</f>
        <v>36.38</v>
      </c>
    </row>
    <row r="32" spans="1:2">
      <c r="A32" s="30" t="s">
        <v>31</v>
      </c>
      <c r="B32" s="65">
        <f>SUMIF(Sheet2!G:G,A32,Sheet2!H:H)</f>
        <v>19.79</v>
      </c>
    </row>
    <row r="33" spans="1:2">
      <c r="A33" s="30" t="s">
        <v>32</v>
      </c>
      <c r="B33" s="65">
        <f>SUMIF(Sheet2!G:G,A33,Sheet2!H:H)</f>
        <v>571.8</v>
      </c>
    </row>
    <row r="34" spans="1:2">
      <c r="A34" s="30" t="s">
        <v>33</v>
      </c>
      <c r="B34" s="65">
        <f>SUMIF(Sheet2!G:G,A34,Sheet2!H:H)</f>
        <v>1447.93</v>
      </c>
    </row>
    <row r="35" spans="1:2">
      <c r="A35" s="30" t="s">
        <v>34</v>
      </c>
      <c r="B35" s="65">
        <f>SUMIF(Sheet2!G:G,A35,Sheet2!H:H)</f>
        <v>316.87</v>
      </c>
    </row>
    <row r="36" spans="1:2">
      <c r="A36" s="30" t="s">
        <v>35</v>
      </c>
      <c r="B36" s="65">
        <f>SUMIF(Sheet2!G:G,A36,Sheet2!H:H)</f>
        <v>90.06</v>
      </c>
    </row>
    <row r="37" spans="1:2">
      <c r="A37" s="30" t="s">
        <v>36</v>
      </c>
      <c r="B37" s="65">
        <f>SUMIF(Sheet2!G:G,A37,Sheet2!H:H)</f>
        <v>15857.92</v>
      </c>
    </row>
    <row r="38" spans="1:2">
      <c r="A38" s="30" t="s">
        <v>37</v>
      </c>
      <c r="B38" s="65">
        <f>SUMIF(Sheet2!G:G,A38,Sheet2!H:H)</f>
        <v>2441.62</v>
      </c>
    </row>
    <row r="39" spans="1:2">
      <c r="A39" s="30" t="s">
        <v>38</v>
      </c>
      <c r="B39" s="65">
        <f>SUMIF(Sheet2!G:G,A39,Sheet2!H:H)</f>
        <v>580.89</v>
      </c>
    </row>
    <row r="40" spans="1:2">
      <c r="A40" s="30" t="s">
        <v>39</v>
      </c>
      <c r="B40" s="65">
        <f>SUMIF(Sheet2!G:G,A40,Sheet2!H:H)</f>
        <v>939.14</v>
      </c>
    </row>
    <row r="41" spans="1:2">
      <c r="A41" s="30" t="s">
        <v>40</v>
      </c>
      <c r="B41" s="65">
        <f>SUMIF(Sheet2!G:G,A41,Sheet2!H:H)</f>
        <v>-1671.21</v>
      </c>
    </row>
    <row r="42" spans="1:2">
      <c r="A42" s="30" t="s">
        <v>41</v>
      </c>
      <c r="B42" s="65">
        <f>SUMIF(Sheet2!G:G,A42,Sheet2!H:H)</f>
        <v>3069.71</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23"/>
  <sheetViews>
    <sheetView workbookViewId="0">
      <selection activeCell="M8" sqref="M8"/>
    </sheetView>
  </sheetViews>
  <sheetFormatPr defaultColWidth="8.73076923076923" defaultRowHeight="16.8"/>
  <cols>
    <col min="8" max="12" width="12.4519230769231" customWidth="1"/>
  </cols>
  <sheetData>
    <row r="1" ht="28.8" spans="1:12">
      <c r="A1" s="1"/>
      <c r="B1" s="1"/>
      <c r="C1" s="2"/>
      <c r="D1" s="3"/>
      <c r="E1" s="1"/>
      <c r="F1" s="2"/>
      <c r="G1" s="2"/>
      <c r="H1" s="4"/>
      <c r="I1" s="5"/>
      <c r="J1" s="6"/>
      <c r="K1" s="6"/>
      <c r="L1" s="6"/>
    </row>
    <row r="2" ht="17.6" spans="1:12">
      <c r="A2" s="7"/>
      <c r="B2" s="8"/>
      <c r="C2" s="9"/>
      <c r="D2" s="3"/>
      <c r="E2" s="9"/>
      <c r="F2" s="9"/>
      <c r="G2" s="10"/>
      <c r="H2" s="11"/>
      <c r="I2" s="12"/>
      <c r="J2" s="11"/>
      <c r="K2" s="11"/>
      <c r="L2" s="11"/>
    </row>
    <row r="3" ht="18.35" spans="1:12">
      <c r="A3" s="9"/>
      <c r="B3" s="9"/>
      <c r="C3" s="9"/>
      <c r="D3" s="3"/>
      <c r="E3" s="9"/>
      <c r="F3" s="9"/>
      <c r="G3" s="9"/>
      <c r="H3" s="9"/>
      <c r="I3" s="13"/>
      <c r="J3" s="14"/>
      <c r="K3" s="14"/>
      <c r="L3" s="14"/>
    </row>
    <row r="4" ht="71.75" spans="1:12">
      <c r="A4" s="15" t="s">
        <v>42</v>
      </c>
      <c r="B4" s="16"/>
      <c r="C4" s="16"/>
      <c r="D4" s="16"/>
      <c r="E4" s="16"/>
      <c r="F4" s="16"/>
      <c r="G4" s="16"/>
      <c r="H4" s="17"/>
      <c r="I4" s="17"/>
      <c r="J4" s="17"/>
      <c r="K4" s="17"/>
      <c r="L4" s="17"/>
    </row>
    <row r="5" ht="76.25" customHeight="1" spans="1:12">
      <c r="A5" s="18" t="s">
        <v>43</v>
      </c>
      <c r="B5" s="19" t="s">
        <v>44</v>
      </c>
      <c r="C5" s="19" t="s">
        <v>45</v>
      </c>
      <c r="D5" s="19" t="s">
        <v>46</v>
      </c>
      <c r="E5" s="19" t="s">
        <v>47</v>
      </c>
      <c r="F5" s="19" t="s">
        <v>48</v>
      </c>
      <c r="G5" s="19" t="s">
        <v>49</v>
      </c>
      <c r="H5" s="20"/>
      <c r="I5" s="21" t="s">
        <v>50</v>
      </c>
      <c r="J5" s="22" t="s">
        <v>51</v>
      </c>
      <c r="K5" s="22" t="s">
        <v>52</v>
      </c>
      <c r="L5" s="23" t="s">
        <v>53</v>
      </c>
    </row>
    <row r="6" ht="31" customHeight="1" spans="1:12">
      <c r="A6" s="18"/>
      <c r="B6" s="19"/>
      <c r="C6" s="19"/>
      <c r="D6" s="19"/>
      <c r="E6" s="19"/>
      <c r="F6" s="19"/>
      <c r="G6" s="19"/>
      <c r="H6" s="24" t="s">
        <v>54</v>
      </c>
      <c r="I6" s="21"/>
      <c r="J6" s="22"/>
      <c r="K6" s="22"/>
      <c r="L6" s="23"/>
    </row>
    <row r="7" ht="17.55" spans="1:12">
      <c r="A7" s="18"/>
      <c r="B7" s="19"/>
      <c r="C7" s="19"/>
      <c r="D7" s="19"/>
      <c r="E7" s="19"/>
      <c r="F7" s="19"/>
      <c r="G7" s="19"/>
      <c r="H7" s="24"/>
      <c r="I7" s="21"/>
      <c r="J7" s="22"/>
      <c r="K7" s="22"/>
      <c r="L7" s="23"/>
    </row>
    <row r="8" ht="122" spans="1:12">
      <c r="A8" s="25" t="s">
        <v>55</v>
      </c>
      <c r="B8" s="26" t="s">
        <v>56</v>
      </c>
      <c r="C8" s="27" t="s">
        <v>57</v>
      </c>
      <c r="D8" s="27" t="s">
        <v>58</v>
      </c>
      <c r="E8" s="28" t="s">
        <v>58</v>
      </c>
      <c r="F8" s="29" t="s">
        <v>59</v>
      </c>
      <c r="G8" s="30" t="s">
        <v>60</v>
      </c>
      <c r="H8" s="31">
        <v>5355.66</v>
      </c>
      <c r="I8" s="32">
        <v>0.9134</v>
      </c>
      <c r="J8" s="33" t="s">
        <v>61</v>
      </c>
      <c r="K8" s="33">
        <v>61842.15</v>
      </c>
      <c r="L8" s="34">
        <v>5355.66</v>
      </c>
    </row>
    <row r="9" ht="137" spans="1:12">
      <c r="A9" s="25" t="s">
        <v>62</v>
      </c>
      <c r="B9" s="26" t="s">
        <v>63</v>
      </c>
      <c r="C9" s="35" t="s">
        <v>57</v>
      </c>
      <c r="D9" s="27" t="s">
        <v>58</v>
      </c>
      <c r="E9" s="28" t="s">
        <v>58</v>
      </c>
      <c r="F9" s="29" t="s">
        <v>59</v>
      </c>
      <c r="G9" s="30" t="s">
        <v>64</v>
      </c>
      <c r="H9" s="36">
        <v>1467.76</v>
      </c>
      <c r="I9" s="32">
        <v>0.9816</v>
      </c>
      <c r="J9" s="37" t="s">
        <v>61</v>
      </c>
      <c r="K9" s="33">
        <v>78297.56</v>
      </c>
      <c r="L9" s="34">
        <v>202.71</v>
      </c>
    </row>
    <row r="10" ht="122" spans="1:12">
      <c r="A10" s="25" t="s">
        <v>65</v>
      </c>
      <c r="B10" s="26" t="s">
        <v>66</v>
      </c>
      <c r="C10" s="35" t="s">
        <v>57</v>
      </c>
      <c r="D10" s="27" t="s">
        <v>58</v>
      </c>
      <c r="E10" s="28" t="s">
        <v>58</v>
      </c>
      <c r="F10" s="29" t="s">
        <v>59</v>
      </c>
      <c r="G10" s="30" t="s">
        <v>67</v>
      </c>
      <c r="H10" s="36">
        <v>2259.34</v>
      </c>
      <c r="I10" s="32">
        <v>0.9645</v>
      </c>
      <c r="J10" s="37" t="s">
        <v>61</v>
      </c>
      <c r="K10" s="33">
        <v>63632.44</v>
      </c>
      <c r="L10" s="34">
        <v>2259.34</v>
      </c>
    </row>
    <row r="11" ht="122" spans="1:12">
      <c r="A11" s="25" t="s">
        <v>68</v>
      </c>
      <c r="B11" s="26" t="s">
        <v>69</v>
      </c>
      <c r="C11" s="35" t="s">
        <v>57</v>
      </c>
      <c r="D11" s="27" t="s">
        <v>58</v>
      </c>
      <c r="E11" s="28" t="s">
        <v>58</v>
      </c>
      <c r="F11" s="29" t="s">
        <v>59</v>
      </c>
      <c r="G11" s="30" t="s">
        <v>70</v>
      </c>
      <c r="H11" s="36">
        <v>4463.8</v>
      </c>
      <c r="I11" s="32">
        <v>0.9393</v>
      </c>
      <c r="J11" s="37" t="s">
        <v>61</v>
      </c>
      <c r="K11" s="33">
        <v>73585.91</v>
      </c>
      <c r="L11" s="34">
        <v>4463.8</v>
      </c>
    </row>
    <row r="12" ht="122" spans="1:12">
      <c r="A12" s="25" t="s">
        <v>71</v>
      </c>
      <c r="B12" s="26" t="s">
        <v>72</v>
      </c>
      <c r="C12" s="35" t="s">
        <v>57</v>
      </c>
      <c r="D12" s="27" t="s">
        <v>58</v>
      </c>
      <c r="E12" s="28" t="s">
        <v>58</v>
      </c>
      <c r="F12" s="29" t="s">
        <v>59</v>
      </c>
      <c r="G12" s="30" t="s">
        <v>73</v>
      </c>
      <c r="H12" s="36">
        <v>-68.86</v>
      </c>
      <c r="I12" s="32">
        <v>1.0009</v>
      </c>
      <c r="J12" s="37" t="s">
        <v>61</v>
      </c>
      <c r="K12" s="33">
        <v>74663.42</v>
      </c>
      <c r="L12" s="34">
        <v>-68.86</v>
      </c>
    </row>
    <row r="13" ht="61" spans="1:12">
      <c r="A13" s="25" t="s">
        <v>74</v>
      </c>
      <c r="B13" s="26" t="s">
        <v>75</v>
      </c>
      <c r="C13" s="35" t="s">
        <v>76</v>
      </c>
      <c r="D13" s="27" t="s">
        <v>58</v>
      </c>
      <c r="E13" s="28" t="s">
        <v>58</v>
      </c>
      <c r="F13" s="29" t="s">
        <v>59</v>
      </c>
      <c r="G13" s="30" t="s">
        <v>77</v>
      </c>
      <c r="H13" s="36" t="s">
        <v>61</v>
      </c>
      <c r="I13" s="32">
        <v>1</v>
      </c>
      <c r="J13" s="37" t="s">
        <v>61</v>
      </c>
      <c r="K13" s="33">
        <v>6062.48</v>
      </c>
      <c r="L13" s="34" t="s">
        <v>61</v>
      </c>
    </row>
    <row r="14" ht="61" spans="1:12">
      <c r="A14" s="25" t="s">
        <v>78</v>
      </c>
      <c r="B14" s="26" t="s">
        <v>75</v>
      </c>
      <c r="C14" s="35" t="s">
        <v>76</v>
      </c>
      <c r="D14" s="27" t="s">
        <v>58</v>
      </c>
      <c r="E14" s="28" t="s">
        <v>58</v>
      </c>
      <c r="F14" s="29" t="s">
        <v>59</v>
      </c>
      <c r="G14" s="30" t="s">
        <v>77</v>
      </c>
      <c r="H14" s="36" t="s">
        <v>61</v>
      </c>
      <c r="I14" s="32">
        <v>1</v>
      </c>
      <c r="J14" s="37" t="s">
        <v>61</v>
      </c>
      <c r="K14" s="33">
        <v>2922.68</v>
      </c>
      <c r="L14" s="34" t="s">
        <v>61</v>
      </c>
    </row>
    <row r="15" ht="92" spans="1:12">
      <c r="A15" s="25" t="s">
        <v>79</v>
      </c>
      <c r="B15" s="26" t="s">
        <v>80</v>
      </c>
      <c r="C15" s="35" t="s">
        <v>81</v>
      </c>
      <c r="D15" s="27" t="s">
        <v>58</v>
      </c>
      <c r="E15" s="28" t="s">
        <v>58</v>
      </c>
      <c r="F15" s="29" t="s">
        <v>59</v>
      </c>
      <c r="G15" s="30" t="s">
        <v>82</v>
      </c>
      <c r="H15" s="36">
        <v>380.13</v>
      </c>
      <c r="I15" s="32">
        <v>0.97</v>
      </c>
      <c r="J15" s="37" t="s">
        <v>61</v>
      </c>
      <c r="K15" s="33">
        <v>12274.64</v>
      </c>
      <c r="L15" s="34">
        <v>0.5</v>
      </c>
    </row>
    <row r="16" ht="61" spans="1:12">
      <c r="A16" s="25" t="s">
        <v>83</v>
      </c>
      <c r="B16" s="26" t="s">
        <v>75</v>
      </c>
      <c r="C16" s="35" t="s">
        <v>76</v>
      </c>
      <c r="D16" s="27" t="s">
        <v>58</v>
      </c>
      <c r="E16" s="28" t="s">
        <v>58</v>
      </c>
      <c r="F16" s="29" t="s">
        <v>59</v>
      </c>
      <c r="G16" s="30" t="s">
        <v>84</v>
      </c>
      <c r="H16" s="36" t="s">
        <v>61</v>
      </c>
      <c r="I16" s="32">
        <v>1</v>
      </c>
      <c r="J16" s="37" t="s">
        <v>61</v>
      </c>
      <c r="K16" s="33">
        <v>18564.25</v>
      </c>
      <c r="L16" s="34" t="s">
        <v>61</v>
      </c>
    </row>
    <row r="17" ht="107" spans="1:12">
      <c r="A17" s="25" t="s">
        <v>85</v>
      </c>
      <c r="B17" s="26" t="s">
        <v>86</v>
      </c>
      <c r="C17" s="35" t="s">
        <v>57</v>
      </c>
      <c r="D17" s="27" t="s">
        <v>58</v>
      </c>
      <c r="E17" s="28" t="s">
        <v>58</v>
      </c>
      <c r="F17" s="29" t="s">
        <v>59</v>
      </c>
      <c r="G17" s="30" t="s">
        <v>87</v>
      </c>
      <c r="H17" s="36">
        <v>2513.24</v>
      </c>
      <c r="I17" s="32">
        <v>0.975</v>
      </c>
      <c r="J17" s="37" t="s">
        <v>61</v>
      </c>
      <c r="K17" s="33">
        <v>100556.38</v>
      </c>
      <c r="L17" s="34">
        <v>2513.24</v>
      </c>
    </row>
    <row r="18" ht="107" spans="1:12">
      <c r="A18" s="25" t="s">
        <v>88</v>
      </c>
      <c r="B18" s="26" t="s">
        <v>89</v>
      </c>
      <c r="C18" s="35" t="s">
        <v>76</v>
      </c>
      <c r="D18" s="27" t="s">
        <v>58</v>
      </c>
      <c r="E18" s="28" t="s">
        <v>58</v>
      </c>
      <c r="F18" s="29" t="s">
        <v>59</v>
      </c>
      <c r="G18" s="30" t="s">
        <v>90</v>
      </c>
      <c r="H18" s="36">
        <v>9.34</v>
      </c>
      <c r="I18" s="32">
        <v>0.9998</v>
      </c>
      <c r="J18" s="37" t="s">
        <v>61</v>
      </c>
      <c r="K18" s="33">
        <v>37550.99</v>
      </c>
      <c r="L18" s="34">
        <v>9.34</v>
      </c>
    </row>
    <row r="19" ht="107" spans="1:12">
      <c r="A19" s="25" t="s">
        <v>91</v>
      </c>
      <c r="B19" s="26" t="s">
        <v>89</v>
      </c>
      <c r="C19" s="35" t="s">
        <v>76</v>
      </c>
      <c r="D19" s="27" t="s">
        <v>58</v>
      </c>
      <c r="E19" s="28" t="s">
        <v>58</v>
      </c>
      <c r="F19" s="29" t="s">
        <v>59</v>
      </c>
      <c r="G19" s="30" t="s">
        <v>92</v>
      </c>
      <c r="H19" s="36">
        <v>614.66</v>
      </c>
      <c r="I19" s="32">
        <v>0.9115</v>
      </c>
      <c r="J19" s="37" t="s">
        <v>61</v>
      </c>
      <c r="K19" s="33">
        <v>6945.57</v>
      </c>
      <c r="L19" s="34">
        <v>614.66</v>
      </c>
    </row>
    <row r="20" ht="107" spans="1:12">
      <c r="A20" s="25" t="s">
        <v>93</v>
      </c>
      <c r="B20" s="26" t="s">
        <v>94</v>
      </c>
      <c r="C20" s="35" t="s">
        <v>76</v>
      </c>
      <c r="D20" s="27" t="s">
        <v>58</v>
      </c>
      <c r="E20" s="28" t="s">
        <v>58</v>
      </c>
      <c r="F20" s="29" t="s">
        <v>59</v>
      </c>
      <c r="G20" s="30" t="s">
        <v>90</v>
      </c>
      <c r="H20" s="36" t="s">
        <v>61</v>
      </c>
      <c r="I20" s="32">
        <v>1</v>
      </c>
      <c r="J20" s="37" t="s">
        <v>61</v>
      </c>
      <c r="K20" s="33">
        <v>63647.72</v>
      </c>
      <c r="L20" s="34" t="s">
        <v>61</v>
      </c>
    </row>
    <row r="21" ht="107" spans="1:12">
      <c r="A21" s="25" t="s">
        <v>95</v>
      </c>
      <c r="B21" s="26" t="s">
        <v>94</v>
      </c>
      <c r="C21" s="35" t="s">
        <v>76</v>
      </c>
      <c r="D21" s="27" t="s">
        <v>58</v>
      </c>
      <c r="E21" s="28" t="s">
        <v>58</v>
      </c>
      <c r="F21" s="29" t="s">
        <v>59</v>
      </c>
      <c r="G21" s="38" t="s">
        <v>96</v>
      </c>
      <c r="H21" s="36" t="s">
        <v>61</v>
      </c>
      <c r="I21" s="32">
        <v>1</v>
      </c>
      <c r="J21" s="37" t="s">
        <v>61</v>
      </c>
      <c r="K21" s="33">
        <v>40.68</v>
      </c>
      <c r="L21" s="34" t="s">
        <v>61</v>
      </c>
    </row>
    <row r="22" ht="107" spans="1:12">
      <c r="A22" s="25" t="s">
        <v>97</v>
      </c>
      <c r="B22" s="26" t="s">
        <v>98</v>
      </c>
      <c r="C22" s="35" t="s">
        <v>76</v>
      </c>
      <c r="D22" s="27" t="s">
        <v>58</v>
      </c>
      <c r="E22" s="28" t="s">
        <v>58</v>
      </c>
      <c r="F22" s="29" t="s">
        <v>59</v>
      </c>
      <c r="G22" s="30" t="s">
        <v>90</v>
      </c>
      <c r="H22" s="36">
        <v>80.92</v>
      </c>
      <c r="I22" s="32">
        <v>0.9978</v>
      </c>
      <c r="J22" s="37" t="s">
        <v>61</v>
      </c>
      <c r="K22" s="33">
        <v>36613.85</v>
      </c>
      <c r="L22" s="34">
        <v>80.92</v>
      </c>
    </row>
    <row r="23" ht="107" spans="1:12">
      <c r="A23" s="25" t="s">
        <v>99</v>
      </c>
      <c r="B23" s="26" t="s">
        <v>98</v>
      </c>
      <c r="C23" s="35" t="s">
        <v>76</v>
      </c>
      <c r="D23" s="27" t="s">
        <v>58</v>
      </c>
      <c r="E23" s="28" t="s">
        <v>58</v>
      </c>
      <c r="F23" s="29" t="s">
        <v>59</v>
      </c>
      <c r="G23" s="30" t="s">
        <v>90</v>
      </c>
      <c r="H23" s="36">
        <v>2.72</v>
      </c>
      <c r="I23" s="32">
        <v>0.9984</v>
      </c>
      <c r="J23" s="37" t="s">
        <v>61</v>
      </c>
      <c r="K23" s="33">
        <v>1713.76</v>
      </c>
      <c r="L23" s="34">
        <v>2.72</v>
      </c>
    </row>
    <row r="24" ht="107" spans="1:12">
      <c r="A24" s="25" t="s">
        <v>100</v>
      </c>
      <c r="B24" s="26" t="s">
        <v>101</v>
      </c>
      <c r="C24" s="35" t="s">
        <v>76</v>
      </c>
      <c r="D24" s="27" t="s">
        <v>58</v>
      </c>
      <c r="E24" s="28" t="s">
        <v>58</v>
      </c>
      <c r="F24" s="29" t="s">
        <v>59</v>
      </c>
      <c r="G24" s="30" t="s">
        <v>90</v>
      </c>
      <c r="H24" s="36" t="s">
        <v>61</v>
      </c>
      <c r="I24" s="32">
        <v>1</v>
      </c>
      <c r="J24" s="37" t="s">
        <v>61</v>
      </c>
      <c r="K24" s="33">
        <v>27170.65</v>
      </c>
      <c r="L24" s="34" t="s">
        <v>61</v>
      </c>
    </row>
    <row r="25" ht="107" spans="1:12">
      <c r="A25" s="25" t="s">
        <v>102</v>
      </c>
      <c r="B25" s="26" t="s">
        <v>101</v>
      </c>
      <c r="C25" s="35" t="s">
        <v>76</v>
      </c>
      <c r="D25" s="27" t="s">
        <v>58</v>
      </c>
      <c r="E25" s="28" t="s">
        <v>58</v>
      </c>
      <c r="F25" s="29" t="s">
        <v>59</v>
      </c>
      <c r="G25" s="38" t="s">
        <v>103</v>
      </c>
      <c r="H25" s="36">
        <v>175.69</v>
      </c>
      <c r="I25" s="32">
        <v>0.9293</v>
      </c>
      <c r="J25" s="37" t="s">
        <v>61</v>
      </c>
      <c r="K25" s="33">
        <v>2483.78</v>
      </c>
      <c r="L25" s="34">
        <v>175.69</v>
      </c>
    </row>
    <row r="26" ht="76" spans="1:12">
      <c r="A26" s="25" t="s">
        <v>104</v>
      </c>
      <c r="B26" s="26" t="s">
        <v>105</v>
      </c>
      <c r="C26" s="35" t="s">
        <v>76</v>
      </c>
      <c r="D26" s="27" t="s">
        <v>58</v>
      </c>
      <c r="E26" s="28" t="s">
        <v>58</v>
      </c>
      <c r="F26" s="29" t="s">
        <v>59</v>
      </c>
      <c r="G26" s="30" t="s">
        <v>77</v>
      </c>
      <c r="H26" s="36" t="s">
        <v>61</v>
      </c>
      <c r="I26" s="32">
        <v>1</v>
      </c>
      <c r="J26" s="37" t="s">
        <v>61</v>
      </c>
      <c r="K26" s="33">
        <v>5410.61</v>
      </c>
      <c r="L26" s="34" t="s">
        <v>61</v>
      </c>
    </row>
    <row r="27" ht="107" spans="1:12">
      <c r="A27" s="25" t="s">
        <v>106</v>
      </c>
      <c r="B27" s="26" t="s">
        <v>107</v>
      </c>
      <c r="C27" s="35" t="s">
        <v>76</v>
      </c>
      <c r="D27" s="27" t="s">
        <v>58</v>
      </c>
      <c r="E27" s="28" t="s">
        <v>58</v>
      </c>
      <c r="F27" s="29" t="s">
        <v>59</v>
      </c>
      <c r="G27" s="30" t="s">
        <v>108</v>
      </c>
      <c r="H27" s="36" t="s">
        <v>61</v>
      </c>
      <c r="I27" s="32">
        <v>1</v>
      </c>
      <c r="J27" s="37" t="s">
        <v>61</v>
      </c>
      <c r="K27" s="33">
        <v>57532.65</v>
      </c>
      <c r="L27" s="34" t="s">
        <v>61</v>
      </c>
    </row>
    <row r="28" ht="122" spans="1:12">
      <c r="A28" s="25" t="s">
        <v>109</v>
      </c>
      <c r="B28" s="26" t="s">
        <v>110</v>
      </c>
      <c r="C28" s="35" t="s">
        <v>57</v>
      </c>
      <c r="D28" s="27" t="s">
        <v>58</v>
      </c>
      <c r="E28" s="28" t="s">
        <v>58</v>
      </c>
      <c r="F28" s="29" t="s">
        <v>59</v>
      </c>
      <c r="G28" s="30" t="s">
        <v>111</v>
      </c>
      <c r="H28" s="36">
        <v>3626.81</v>
      </c>
      <c r="I28" s="32">
        <v>0.9338</v>
      </c>
      <c r="J28" s="37" t="s">
        <v>61</v>
      </c>
      <c r="K28" s="33">
        <v>49343.47</v>
      </c>
      <c r="L28" s="34">
        <v>-1855.8</v>
      </c>
    </row>
    <row r="29" ht="107" spans="1:12">
      <c r="A29" s="25" t="s">
        <v>112</v>
      </c>
      <c r="B29" s="26" t="s">
        <v>113</v>
      </c>
      <c r="C29" s="35" t="s">
        <v>114</v>
      </c>
      <c r="D29" s="27" t="s">
        <v>58</v>
      </c>
      <c r="E29" s="28" t="s">
        <v>115</v>
      </c>
      <c r="F29" s="29" t="s">
        <v>59</v>
      </c>
      <c r="G29" s="30" t="s">
        <v>0</v>
      </c>
      <c r="H29" s="36">
        <v>14278.74</v>
      </c>
      <c r="I29" s="32">
        <v>0.6493</v>
      </c>
      <c r="J29" s="37">
        <v>370</v>
      </c>
      <c r="K29" s="33">
        <v>37962.05</v>
      </c>
      <c r="L29" s="34">
        <v>10471.85</v>
      </c>
    </row>
    <row r="30" ht="122" spans="1:12">
      <c r="A30" s="25" t="s">
        <v>116</v>
      </c>
      <c r="B30" s="26" t="s">
        <v>117</v>
      </c>
      <c r="C30" s="35" t="s">
        <v>114</v>
      </c>
      <c r="D30" s="35" t="s">
        <v>115</v>
      </c>
      <c r="E30" s="28" t="s">
        <v>115</v>
      </c>
      <c r="F30" s="29" t="s">
        <v>118</v>
      </c>
      <c r="G30" s="30" t="s">
        <v>119</v>
      </c>
      <c r="H30" s="36">
        <v>12093.52</v>
      </c>
      <c r="I30" s="32">
        <v>0.816</v>
      </c>
      <c r="J30" s="37" t="s">
        <v>61</v>
      </c>
      <c r="K30" s="33">
        <v>55855.17</v>
      </c>
      <c r="L30" s="34">
        <v>2236.72</v>
      </c>
    </row>
    <row r="31" ht="122" spans="1:12">
      <c r="A31" s="25" t="s">
        <v>120</v>
      </c>
      <c r="B31" s="26" t="s">
        <v>121</v>
      </c>
      <c r="C31" s="35" t="s">
        <v>57</v>
      </c>
      <c r="D31" s="35" t="s">
        <v>115</v>
      </c>
      <c r="E31" s="28" t="s">
        <v>115</v>
      </c>
      <c r="F31" s="29" t="s">
        <v>118</v>
      </c>
      <c r="G31" s="30" t="s">
        <v>122</v>
      </c>
      <c r="H31" s="36">
        <v>6447.26</v>
      </c>
      <c r="I31" s="32">
        <v>0.9292</v>
      </c>
      <c r="J31" s="37" t="s">
        <v>61</v>
      </c>
      <c r="K31" s="33">
        <v>88304.71</v>
      </c>
      <c r="L31" s="34">
        <v>3716.19</v>
      </c>
    </row>
    <row r="32" ht="107" spans="1:12">
      <c r="A32" s="25" t="s">
        <v>123</v>
      </c>
      <c r="B32" s="26" t="s">
        <v>124</v>
      </c>
      <c r="C32" s="35" t="s">
        <v>125</v>
      </c>
      <c r="D32" s="27" t="s">
        <v>58</v>
      </c>
      <c r="E32" s="28" t="s">
        <v>115</v>
      </c>
      <c r="F32" s="29" t="s">
        <v>118</v>
      </c>
      <c r="G32" s="30" t="s">
        <v>1</v>
      </c>
      <c r="H32" s="36">
        <v>-2628.68</v>
      </c>
      <c r="I32" s="32">
        <v>0.9529</v>
      </c>
      <c r="J32" s="37">
        <v>4515.78</v>
      </c>
      <c r="K32" s="33">
        <v>40603.09</v>
      </c>
      <c r="L32" s="34" t="s">
        <v>61</v>
      </c>
    </row>
    <row r="33" ht="92" spans="1:12">
      <c r="A33" s="25" t="s">
        <v>126</v>
      </c>
      <c r="B33" s="26" t="s">
        <v>127</v>
      </c>
      <c r="C33" s="35" t="s">
        <v>76</v>
      </c>
      <c r="D33" s="27" t="s">
        <v>58</v>
      </c>
      <c r="E33" s="28" t="s">
        <v>58</v>
      </c>
      <c r="F33" s="29" t="s">
        <v>118</v>
      </c>
      <c r="G33" s="30" t="s">
        <v>2</v>
      </c>
      <c r="H33" s="36">
        <v>535.26</v>
      </c>
      <c r="I33" s="32">
        <v>0.9762</v>
      </c>
      <c r="J33" s="37" t="s">
        <v>61</v>
      </c>
      <c r="K33" s="33">
        <v>22479.31</v>
      </c>
      <c r="L33" s="34">
        <v>535.26</v>
      </c>
    </row>
    <row r="34" ht="122" spans="1:12">
      <c r="A34" s="25" t="s">
        <v>128</v>
      </c>
      <c r="B34" s="26" t="s">
        <v>129</v>
      </c>
      <c r="C34" s="35" t="s">
        <v>57</v>
      </c>
      <c r="D34" s="27" t="s">
        <v>115</v>
      </c>
      <c r="E34" s="28" t="s">
        <v>58</v>
      </c>
      <c r="F34" s="29" t="s">
        <v>118</v>
      </c>
      <c r="G34" s="30" t="s">
        <v>130</v>
      </c>
      <c r="H34" s="36">
        <v>4090.75</v>
      </c>
      <c r="I34" s="32">
        <v>0.9219</v>
      </c>
      <c r="J34" s="37" t="s">
        <v>61</v>
      </c>
      <c r="K34" s="33">
        <v>52371.99</v>
      </c>
      <c r="L34" s="34">
        <v>4090.75</v>
      </c>
    </row>
    <row r="35" ht="107" spans="1:12">
      <c r="A35" s="25" t="s">
        <v>131</v>
      </c>
      <c r="B35" s="26" t="s">
        <v>105</v>
      </c>
      <c r="C35" s="39" t="s">
        <v>57</v>
      </c>
      <c r="D35" s="27" t="s">
        <v>115</v>
      </c>
      <c r="E35" s="28" t="s">
        <v>58</v>
      </c>
      <c r="F35" s="29" t="s">
        <v>118</v>
      </c>
      <c r="G35" s="30" t="s">
        <v>132</v>
      </c>
      <c r="H35" s="36">
        <v>1635.09</v>
      </c>
      <c r="I35" s="32">
        <v>0.9608</v>
      </c>
      <c r="J35" s="37" t="s">
        <v>61</v>
      </c>
      <c r="K35" s="33">
        <v>41698.92</v>
      </c>
      <c r="L35" s="34">
        <v>1635.09</v>
      </c>
    </row>
    <row r="36" ht="122" spans="1:12">
      <c r="A36" s="25" t="s">
        <v>133</v>
      </c>
      <c r="B36" s="26" t="s">
        <v>134</v>
      </c>
      <c r="C36" s="39" t="s">
        <v>57</v>
      </c>
      <c r="D36" s="27" t="s">
        <v>115</v>
      </c>
      <c r="E36" s="28" t="s">
        <v>58</v>
      </c>
      <c r="F36" s="29" t="s">
        <v>118</v>
      </c>
      <c r="G36" s="30" t="s">
        <v>135</v>
      </c>
      <c r="H36" s="36">
        <v>1607.49</v>
      </c>
      <c r="I36" s="32">
        <v>0.9403</v>
      </c>
      <c r="J36" s="37" t="s">
        <v>61</v>
      </c>
      <c r="K36" s="33">
        <v>26927.72</v>
      </c>
      <c r="L36" s="34">
        <v>1607.49</v>
      </c>
    </row>
    <row r="37" ht="168" spans="1:12">
      <c r="A37" s="25" t="s">
        <v>136</v>
      </c>
      <c r="B37" s="26" t="s">
        <v>137</v>
      </c>
      <c r="C37" s="35" t="s">
        <v>138</v>
      </c>
      <c r="D37" s="27" t="s">
        <v>58</v>
      </c>
      <c r="E37" s="28"/>
      <c r="F37" s="29" t="s">
        <v>118</v>
      </c>
      <c r="G37" s="30" t="s">
        <v>1</v>
      </c>
      <c r="H37" s="36" t="s">
        <v>61</v>
      </c>
      <c r="I37" s="32"/>
      <c r="J37" s="37" t="s">
        <v>61</v>
      </c>
      <c r="K37" s="33" t="s">
        <v>61</v>
      </c>
      <c r="L37" s="34" t="s">
        <v>61</v>
      </c>
    </row>
    <row r="38" ht="107" spans="1:12">
      <c r="A38" s="25" t="s">
        <v>139</v>
      </c>
      <c r="B38" s="26" t="s">
        <v>140</v>
      </c>
      <c r="C38" s="35" t="s">
        <v>57</v>
      </c>
      <c r="D38" s="35" t="s">
        <v>115</v>
      </c>
      <c r="E38" s="40" t="s">
        <v>58</v>
      </c>
      <c r="F38" s="41" t="s">
        <v>141</v>
      </c>
      <c r="G38" s="30" t="s">
        <v>142</v>
      </c>
      <c r="H38" s="36">
        <v>2025.49</v>
      </c>
      <c r="I38" s="32">
        <v>0.9748</v>
      </c>
      <c r="J38" s="37" t="s">
        <v>61</v>
      </c>
      <c r="K38" s="33">
        <v>77861.06</v>
      </c>
      <c r="L38" s="34">
        <v>-382.58</v>
      </c>
    </row>
    <row r="39" ht="122" spans="1:12">
      <c r="A39" s="25" t="s">
        <v>143</v>
      </c>
      <c r="B39" s="26" t="s">
        <v>144</v>
      </c>
      <c r="C39" s="35" t="s">
        <v>57</v>
      </c>
      <c r="D39" s="35" t="s">
        <v>115</v>
      </c>
      <c r="E39" s="40" t="s">
        <v>58</v>
      </c>
      <c r="F39" s="41" t="s">
        <v>141</v>
      </c>
      <c r="G39" s="30" t="s">
        <v>145</v>
      </c>
      <c r="H39" s="36">
        <v>633.55</v>
      </c>
      <c r="I39" s="32">
        <v>0.9936</v>
      </c>
      <c r="J39" s="37">
        <v>708.79</v>
      </c>
      <c r="K39" s="33">
        <v>204781.32</v>
      </c>
      <c r="L39" s="34">
        <v>-4969.18</v>
      </c>
    </row>
    <row r="40" ht="107" spans="1:12">
      <c r="A40" s="25" t="s">
        <v>146</v>
      </c>
      <c r="B40" s="26" t="s">
        <v>147</v>
      </c>
      <c r="C40" s="35" t="s">
        <v>57</v>
      </c>
      <c r="D40" s="35" t="s">
        <v>115</v>
      </c>
      <c r="E40" s="40" t="s">
        <v>58</v>
      </c>
      <c r="F40" s="41" t="s">
        <v>141</v>
      </c>
      <c r="G40" s="30" t="s">
        <v>148</v>
      </c>
      <c r="H40" s="36">
        <v>1656.97</v>
      </c>
      <c r="I40" s="32">
        <v>0.9712</v>
      </c>
      <c r="J40" s="37" t="s">
        <v>61</v>
      </c>
      <c r="K40" s="33">
        <v>55781.04</v>
      </c>
      <c r="L40" s="34">
        <v>-68.22</v>
      </c>
    </row>
    <row r="41" ht="107" spans="1:12">
      <c r="A41" s="25" t="s">
        <v>149</v>
      </c>
      <c r="B41" s="26" t="s">
        <v>147</v>
      </c>
      <c r="C41" s="35" t="s">
        <v>57</v>
      </c>
      <c r="D41" s="27" t="s">
        <v>58</v>
      </c>
      <c r="E41" s="40" t="s">
        <v>58</v>
      </c>
      <c r="F41" s="41" t="s">
        <v>141</v>
      </c>
      <c r="G41" s="30" t="s">
        <v>3</v>
      </c>
      <c r="H41" s="36">
        <v>119.92</v>
      </c>
      <c r="I41" s="32">
        <v>0.8996</v>
      </c>
      <c r="J41" s="37" t="s">
        <v>61</v>
      </c>
      <c r="K41" s="33">
        <v>1075.26</v>
      </c>
      <c r="L41" s="34">
        <v>0.45</v>
      </c>
    </row>
    <row r="42" ht="61" spans="1:12">
      <c r="A42" s="25" t="s">
        <v>150</v>
      </c>
      <c r="B42" s="26" t="s">
        <v>151</v>
      </c>
      <c r="C42" s="35" t="s">
        <v>76</v>
      </c>
      <c r="D42" s="35" t="s">
        <v>115</v>
      </c>
      <c r="E42" s="40" t="s">
        <v>58</v>
      </c>
      <c r="F42" s="41" t="s">
        <v>141</v>
      </c>
      <c r="G42" s="30" t="s">
        <v>152</v>
      </c>
      <c r="H42" s="36">
        <v>1471.31</v>
      </c>
      <c r="I42" s="32">
        <v>0.9729</v>
      </c>
      <c r="J42" s="37" t="s">
        <v>61</v>
      </c>
      <c r="K42" s="33">
        <v>54273.26</v>
      </c>
      <c r="L42" s="34">
        <v>1471.31</v>
      </c>
    </row>
    <row r="43" ht="107" spans="1:12">
      <c r="A43" s="25" t="s">
        <v>153</v>
      </c>
      <c r="B43" s="26" t="s">
        <v>154</v>
      </c>
      <c r="C43" s="35" t="s">
        <v>81</v>
      </c>
      <c r="D43" s="27" t="s">
        <v>58</v>
      </c>
      <c r="E43" s="40" t="s">
        <v>58</v>
      </c>
      <c r="F43" s="41" t="s">
        <v>141</v>
      </c>
      <c r="G43" s="30" t="s">
        <v>4</v>
      </c>
      <c r="H43" s="36">
        <v>527.16</v>
      </c>
      <c r="I43" s="32">
        <v>0.97</v>
      </c>
      <c r="J43" s="37" t="s">
        <v>61</v>
      </c>
      <c r="K43" s="33">
        <v>17044.58</v>
      </c>
      <c r="L43" s="34">
        <v>0.01</v>
      </c>
    </row>
    <row r="44" ht="61" spans="1:12">
      <c r="A44" s="25" t="s">
        <v>155</v>
      </c>
      <c r="B44" s="26" t="s">
        <v>75</v>
      </c>
      <c r="C44" s="35" t="s">
        <v>76</v>
      </c>
      <c r="D44" s="27" t="s">
        <v>58</v>
      </c>
      <c r="E44" s="40" t="s">
        <v>58</v>
      </c>
      <c r="F44" s="41" t="s">
        <v>141</v>
      </c>
      <c r="G44" s="30" t="s">
        <v>156</v>
      </c>
      <c r="H44" s="36" t="s">
        <v>61</v>
      </c>
      <c r="I44" s="32">
        <v>1</v>
      </c>
      <c r="J44" s="37" t="s">
        <v>61</v>
      </c>
      <c r="K44" s="33">
        <v>24665.01</v>
      </c>
      <c r="L44" s="34" t="s">
        <v>61</v>
      </c>
    </row>
    <row r="45" ht="76" spans="1:12">
      <c r="A45" s="25" t="s">
        <v>157</v>
      </c>
      <c r="B45" s="26" t="s">
        <v>105</v>
      </c>
      <c r="C45" s="35" t="s">
        <v>57</v>
      </c>
      <c r="D45" s="27" t="s">
        <v>58</v>
      </c>
      <c r="E45" s="40" t="s">
        <v>58</v>
      </c>
      <c r="F45" s="41" t="s">
        <v>158</v>
      </c>
      <c r="G45" s="30" t="s">
        <v>5</v>
      </c>
      <c r="H45" s="36">
        <v>3070.53</v>
      </c>
      <c r="I45" s="32">
        <v>0.3841</v>
      </c>
      <c r="J45" s="37" t="s">
        <v>61</v>
      </c>
      <c r="K45" s="33">
        <v>3489.58</v>
      </c>
      <c r="L45" s="34">
        <v>1574.99</v>
      </c>
    </row>
    <row r="46" ht="137" spans="1:12">
      <c r="A46" s="25" t="s">
        <v>159</v>
      </c>
      <c r="B46" s="26" t="s">
        <v>160</v>
      </c>
      <c r="C46" s="35" t="s">
        <v>57</v>
      </c>
      <c r="D46" s="27" t="s">
        <v>115</v>
      </c>
      <c r="E46" s="40" t="s">
        <v>58</v>
      </c>
      <c r="F46" s="41" t="s">
        <v>141</v>
      </c>
      <c r="G46" s="30" t="s">
        <v>161</v>
      </c>
      <c r="H46" s="36">
        <v>4350.05</v>
      </c>
      <c r="I46" s="32">
        <v>0.947</v>
      </c>
      <c r="J46" s="37" t="s">
        <v>61</v>
      </c>
      <c r="K46" s="33">
        <v>78778.11</v>
      </c>
      <c r="L46" s="34">
        <v>1067.63</v>
      </c>
    </row>
    <row r="47" ht="107" spans="1:12">
      <c r="A47" s="25" t="s">
        <v>162</v>
      </c>
      <c r="B47" s="26" t="s">
        <v>163</v>
      </c>
      <c r="C47" s="35" t="s">
        <v>57</v>
      </c>
      <c r="D47" s="27" t="s">
        <v>58</v>
      </c>
      <c r="E47" s="40" t="s">
        <v>115</v>
      </c>
      <c r="F47" s="41" t="s">
        <v>158</v>
      </c>
      <c r="G47" s="30" t="s">
        <v>6</v>
      </c>
      <c r="H47" s="36">
        <v>4661.5</v>
      </c>
      <c r="I47" s="32">
        <v>0.8493</v>
      </c>
      <c r="J47" s="37" t="s">
        <v>61</v>
      </c>
      <c r="K47" s="33">
        <v>29084.2</v>
      </c>
      <c r="L47" s="34">
        <v>2805.06</v>
      </c>
    </row>
    <row r="48" ht="122" spans="1:12">
      <c r="A48" s="25" t="s">
        <v>164</v>
      </c>
      <c r="B48" s="26" t="s">
        <v>165</v>
      </c>
      <c r="C48" s="35" t="s">
        <v>76</v>
      </c>
      <c r="D48" s="27" t="s">
        <v>58</v>
      </c>
      <c r="E48" s="40" t="s">
        <v>58</v>
      </c>
      <c r="F48" s="41" t="s">
        <v>158</v>
      </c>
      <c r="G48" s="30" t="s">
        <v>7</v>
      </c>
      <c r="H48" s="36">
        <v>1234.29</v>
      </c>
      <c r="I48" s="32">
        <v>0.8427</v>
      </c>
      <c r="J48" s="37" t="s">
        <v>61</v>
      </c>
      <c r="K48" s="33">
        <v>7845.94</v>
      </c>
      <c r="L48" s="34">
        <v>1211.76</v>
      </c>
    </row>
    <row r="49" ht="122" spans="1:12">
      <c r="A49" s="25" t="s">
        <v>166</v>
      </c>
      <c r="B49" s="26" t="s">
        <v>165</v>
      </c>
      <c r="C49" s="35" t="s">
        <v>57</v>
      </c>
      <c r="D49" s="27" t="s">
        <v>58</v>
      </c>
      <c r="E49" s="40" t="s">
        <v>58</v>
      </c>
      <c r="F49" s="41" t="s">
        <v>167</v>
      </c>
      <c r="G49" s="30" t="s">
        <v>8</v>
      </c>
      <c r="H49" s="36">
        <v>-268</v>
      </c>
      <c r="I49" s="32">
        <v>3.0251</v>
      </c>
      <c r="J49" s="37" t="s">
        <v>61</v>
      </c>
      <c r="K49" s="33">
        <v>132.34</v>
      </c>
      <c r="L49" s="34">
        <v>-268</v>
      </c>
    </row>
    <row r="50" ht="122" spans="1:12">
      <c r="A50" s="25" t="s">
        <v>168</v>
      </c>
      <c r="B50" s="26" t="s">
        <v>165</v>
      </c>
      <c r="C50" s="35" t="s">
        <v>57</v>
      </c>
      <c r="D50" s="27" t="s">
        <v>58</v>
      </c>
      <c r="E50" s="40" t="s">
        <v>58</v>
      </c>
      <c r="F50" s="41" t="s">
        <v>158</v>
      </c>
      <c r="G50" s="30" t="s">
        <v>9</v>
      </c>
      <c r="H50" s="36">
        <v>1149.31</v>
      </c>
      <c r="I50" s="32">
        <v>0.6998</v>
      </c>
      <c r="J50" s="37" t="s">
        <v>61</v>
      </c>
      <c r="K50" s="33">
        <v>3446.13</v>
      </c>
      <c r="L50" s="34">
        <v>766.41</v>
      </c>
    </row>
    <row r="51" ht="122" spans="1:12">
      <c r="A51" s="25" t="s">
        <v>169</v>
      </c>
      <c r="B51" s="26" t="s">
        <v>165</v>
      </c>
      <c r="C51" s="35" t="s">
        <v>76</v>
      </c>
      <c r="D51" s="27" t="s">
        <v>58</v>
      </c>
      <c r="E51" s="40" t="s">
        <v>115</v>
      </c>
      <c r="F51" s="41" t="s">
        <v>158</v>
      </c>
      <c r="G51" s="30" t="s">
        <v>10</v>
      </c>
      <c r="H51" s="36">
        <v>930.99</v>
      </c>
      <c r="I51" s="32">
        <v>0.9312</v>
      </c>
      <c r="J51" s="37" t="s">
        <v>61</v>
      </c>
      <c r="K51" s="33">
        <v>13125.45</v>
      </c>
      <c r="L51" s="34">
        <v>525.05</v>
      </c>
    </row>
    <row r="52" ht="107" spans="1:12">
      <c r="A52" s="25" t="s">
        <v>170</v>
      </c>
      <c r="B52" s="26" t="s">
        <v>171</v>
      </c>
      <c r="C52" s="35" t="s">
        <v>57</v>
      </c>
      <c r="D52" s="27" t="s">
        <v>58</v>
      </c>
      <c r="E52" s="40" t="s">
        <v>58</v>
      </c>
      <c r="F52" s="41" t="s">
        <v>158</v>
      </c>
      <c r="G52" s="30" t="s">
        <v>11</v>
      </c>
      <c r="H52" s="36">
        <v>4.57</v>
      </c>
      <c r="I52" s="32">
        <v>0.9995</v>
      </c>
      <c r="J52" s="37" t="s">
        <v>61</v>
      </c>
      <c r="K52" s="33">
        <v>9482.96</v>
      </c>
      <c r="L52" s="34">
        <v>4.57</v>
      </c>
    </row>
    <row r="53" ht="107" spans="1:12">
      <c r="A53" s="25" t="s">
        <v>172</v>
      </c>
      <c r="B53" s="26" t="s">
        <v>173</v>
      </c>
      <c r="C53" s="35" t="s">
        <v>76</v>
      </c>
      <c r="D53" s="27" t="s">
        <v>58</v>
      </c>
      <c r="E53" s="40" t="s">
        <v>58</v>
      </c>
      <c r="F53" s="41" t="s">
        <v>158</v>
      </c>
      <c r="G53" s="30" t="s">
        <v>174</v>
      </c>
      <c r="H53" s="36" t="s">
        <v>61</v>
      </c>
      <c r="I53" s="32">
        <v>1</v>
      </c>
      <c r="J53" s="37" t="s">
        <v>61</v>
      </c>
      <c r="K53" s="33">
        <v>9650.3</v>
      </c>
      <c r="L53" s="34" t="s">
        <v>61</v>
      </c>
    </row>
    <row r="54" ht="122" spans="1:12">
      <c r="A54" s="25" t="s">
        <v>175</v>
      </c>
      <c r="B54" s="26" t="s">
        <v>176</v>
      </c>
      <c r="C54" s="35" t="s">
        <v>76</v>
      </c>
      <c r="D54" s="27" t="s">
        <v>58</v>
      </c>
      <c r="E54" s="40" t="s">
        <v>115</v>
      </c>
      <c r="F54" s="41" t="s">
        <v>158</v>
      </c>
      <c r="G54" s="30" t="s">
        <v>12</v>
      </c>
      <c r="H54" s="36">
        <v>67.56</v>
      </c>
      <c r="I54" s="32">
        <v>0.9895</v>
      </c>
      <c r="J54" s="37" t="s">
        <v>61</v>
      </c>
      <c r="K54" s="33">
        <v>6464.61</v>
      </c>
      <c r="L54" s="34">
        <v>67.56</v>
      </c>
    </row>
    <row r="55" ht="76" spans="1:12">
      <c r="A55" s="25" t="s">
        <v>177</v>
      </c>
      <c r="B55" s="26" t="s">
        <v>178</v>
      </c>
      <c r="C55" s="35" t="s">
        <v>57</v>
      </c>
      <c r="D55" s="27" t="s">
        <v>115</v>
      </c>
      <c r="E55" s="40" t="s">
        <v>58</v>
      </c>
      <c r="F55" s="41" t="s">
        <v>158</v>
      </c>
      <c r="G55" s="30" t="s">
        <v>179</v>
      </c>
      <c r="H55" s="36" t="s">
        <v>61</v>
      </c>
      <c r="I55" s="32">
        <v>1</v>
      </c>
      <c r="J55" s="37" t="s">
        <v>61</v>
      </c>
      <c r="K55" s="33">
        <v>37899.05</v>
      </c>
      <c r="L55" s="34" t="s">
        <v>61</v>
      </c>
    </row>
    <row r="56" ht="76" spans="1:12">
      <c r="A56" s="25" t="s">
        <v>180</v>
      </c>
      <c r="B56" s="26" t="s">
        <v>105</v>
      </c>
      <c r="C56" s="35" t="s">
        <v>76</v>
      </c>
      <c r="D56" s="27" t="s">
        <v>58</v>
      </c>
      <c r="E56" s="40" t="s">
        <v>58</v>
      </c>
      <c r="F56" s="41" t="s">
        <v>158</v>
      </c>
      <c r="G56" s="30" t="s">
        <v>181</v>
      </c>
      <c r="H56" s="36" t="s">
        <v>61</v>
      </c>
      <c r="I56" s="32">
        <v>1</v>
      </c>
      <c r="J56" s="37" t="s">
        <v>61</v>
      </c>
      <c r="K56" s="33">
        <v>21870.2</v>
      </c>
      <c r="L56" s="34" t="s">
        <v>61</v>
      </c>
    </row>
    <row r="57" ht="122" spans="1:12">
      <c r="A57" s="25" t="s">
        <v>182</v>
      </c>
      <c r="B57" s="26" t="s">
        <v>183</v>
      </c>
      <c r="C57" s="35" t="s">
        <v>57</v>
      </c>
      <c r="D57" s="27" t="s">
        <v>58</v>
      </c>
      <c r="E57" s="40" t="s">
        <v>58</v>
      </c>
      <c r="F57" s="41" t="s">
        <v>158</v>
      </c>
      <c r="G57" s="30" t="s">
        <v>13</v>
      </c>
      <c r="H57" s="36">
        <v>7495.42</v>
      </c>
      <c r="I57" s="32">
        <v>0.132</v>
      </c>
      <c r="J57" s="37" t="s">
        <v>61</v>
      </c>
      <c r="K57" s="33">
        <v>8634.88</v>
      </c>
      <c r="L57" s="34">
        <v>7495.42</v>
      </c>
    </row>
    <row r="58" ht="122" spans="1:12">
      <c r="A58" s="25" t="s">
        <v>184</v>
      </c>
      <c r="B58" s="26" t="s">
        <v>183</v>
      </c>
      <c r="C58" s="35" t="s">
        <v>76</v>
      </c>
      <c r="D58" s="27" t="s">
        <v>58</v>
      </c>
      <c r="E58" s="40" t="s">
        <v>58</v>
      </c>
      <c r="F58" s="41" t="s">
        <v>158</v>
      </c>
      <c r="G58" s="30" t="s">
        <v>13</v>
      </c>
      <c r="H58" s="36">
        <v>2955.63</v>
      </c>
      <c r="I58" s="32">
        <v>0.1882</v>
      </c>
      <c r="J58" s="37" t="s">
        <v>61</v>
      </c>
      <c r="K58" s="33">
        <v>3640.63</v>
      </c>
      <c r="L58" s="34">
        <v>2955.63</v>
      </c>
    </row>
    <row r="59" ht="107" spans="1:12">
      <c r="A59" s="25" t="s">
        <v>185</v>
      </c>
      <c r="B59" s="26" t="s">
        <v>186</v>
      </c>
      <c r="C59" s="35" t="s">
        <v>76</v>
      </c>
      <c r="D59" s="27" t="s">
        <v>58</v>
      </c>
      <c r="E59" s="40" t="s">
        <v>58</v>
      </c>
      <c r="F59" s="41" t="s">
        <v>158</v>
      </c>
      <c r="G59" s="30" t="s">
        <v>14</v>
      </c>
      <c r="H59" s="36">
        <v>137.7</v>
      </c>
      <c r="I59" s="32">
        <v>0.9498</v>
      </c>
      <c r="J59" s="37" t="s">
        <v>61</v>
      </c>
      <c r="K59" s="33">
        <v>2742.1</v>
      </c>
      <c r="L59" s="34">
        <v>137.7</v>
      </c>
    </row>
    <row r="60" ht="107" spans="1:12">
      <c r="A60" s="25" t="s">
        <v>187</v>
      </c>
      <c r="B60" s="26" t="s">
        <v>188</v>
      </c>
      <c r="C60" s="39" t="s">
        <v>57</v>
      </c>
      <c r="D60" s="27" t="s">
        <v>58</v>
      </c>
      <c r="E60" s="40" t="s">
        <v>58</v>
      </c>
      <c r="F60" s="41" t="s">
        <v>158</v>
      </c>
      <c r="G60" s="30" t="s">
        <v>15</v>
      </c>
      <c r="H60" s="36">
        <v>1225.66</v>
      </c>
      <c r="I60" s="32">
        <v>0.9116</v>
      </c>
      <c r="J60" s="37" t="s">
        <v>61</v>
      </c>
      <c r="K60" s="33">
        <v>12894.01</v>
      </c>
      <c r="L60" s="34">
        <v>255.14</v>
      </c>
    </row>
    <row r="61" ht="76" spans="1:12">
      <c r="A61" s="25" t="s">
        <v>189</v>
      </c>
      <c r="B61" s="26" t="s">
        <v>75</v>
      </c>
      <c r="C61" s="35" t="s">
        <v>76</v>
      </c>
      <c r="D61" s="27" t="s">
        <v>58</v>
      </c>
      <c r="E61" s="40" t="s">
        <v>58</v>
      </c>
      <c r="F61" s="41" t="s">
        <v>158</v>
      </c>
      <c r="G61" s="30" t="s">
        <v>16</v>
      </c>
      <c r="H61" s="36">
        <v>1303.91</v>
      </c>
      <c r="I61" s="32">
        <v>0.776</v>
      </c>
      <c r="J61" s="37" t="s">
        <v>61</v>
      </c>
      <c r="K61" s="33">
        <v>5820.53</v>
      </c>
      <c r="L61" s="34">
        <v>1303.91</v>
      </c>
    </row>
    <row r="62" ht="61" spans="1:12">
      <c r="A62" s="25" t="s">
        <v>190</v>
      </c>
      <c r="B62" s="26" t="s">
        <v>75</v>
      </c>
      <c r="C62" s="35" t="s">
        <v>76</v>
      </c>
      <c r="D62" s="27" t="s">
        <v>58</v>
      </c>
      <c r="E62" s="40" t="s">
        <v>58</v>
      </c>
      <c r="F62" s="41" t="s">
        <v>158</v>
      </c>
      <c r="G62" s="30" t="s">
        <v>17</v>
      </c>
      <c r="H62" s="36">
        <v>-99.98</v>
      </c>
      <c r="I62" s="32">
        <v>1.0161</v>
      </c>
      <c r="J62" s="37" t="s">
        <v>61</v>
      </c>
      <c r="K62" s="33">
        <v>6223.71</v>
      </c>
      <c r="L62" s="34">
        <v>-99.98</v>
      </c>
    </row>
    <row r="63" ht="76" spans="1:12">
      <c r="A63" s="25" t="s">
        <v>191</v>
      </c>
      <c r="B63" s="26" t="s">
        <v>105</v>
      </c>
      <c r="C63" s="35" t="s">
        <v>76</v>
      </c>
      <c r="D63" s="27" t="s">
        <v>58</v>
      </c>
      <c r="E63" s="40" t="s">
        <v>58</v>
      </c>
      <c r="F63" s="41" t="s">
        <v>158</v>
      </c>
      <c r="G63" s="30" t="s">
        <v>18</v>
      </c>
      <c r="H63" s="36">
        <v>267.44</v>
      </c>
      <c r="I63" s="32">
        <v>0.9445</v>
      </c>
      <c r="J63" s="37" t="s">
        <v>61</v>
      </c>
      <c r="K63" s="33">
        <v>4817.09</v>
      </c>
      <c r="L63" s="34">
        <v>267.44</v>
      </c>
    </row>
    <row r="64" ht="92" spans="1:12">
      <c r="A64" s="25" t="s">
        <v>192</v>
      </c>
      <c r="B64" s="26" t="s">
        <v>193</v>
      </c>
      <c r="C64" s="39" t="s">
        <v>57</v>
      </c>
      <c r="D64" s="27" t="s">
        <v>58</v>
      </c>
      <c r="E64" s="40" t="s">
        <v>58</v>
      </c>
      <c r="F64" s="41" t="s">
        <v>158</v>
      </c>
      <c r="G64" s="30" t="s">
        <v>11</v>
      </c>
      <c r="H64" s="36">
        <v>956.49</v>
      </c>
      <c r="I64" s="32">
        <v>0.9634</v>
      </c>
      <c r="J64" s="37" t="s">
        <v>61</v>
      </c>
      <c r="K64" s="33">
        <v>26099.83</v>
      </c>
      <c r="L64" s="34">
        <v>956.49</v>
      </c>
    </row>
    <row r="65" ht="61" spans="1:12">
      <c r="A65" s="25" t="s">
        <v>194</v>
      </c>
      <c r="B65" s="26" t="s">
        <v>75</v>
      </c>
      <c r="C65" s="35" t="s">
        <v>76</v>
      </c>
      <c r="D65" s="27" t="s">
        <v>58</v>
      </c>
      <c r="E65" s="40" t="s">
        <v>58</v>
      </c>
      <c r="F65" s="41" t="s">
        <v>158</v>
      </c>
      <c r="G65" s="30" t="s">
        <v>195</v>
      </c>
      <c r="H65" s="36" t="s">
        <v>61</v>
      </c>
      <c r="I65" s="32">
        <v>1</v>
      </c>
      <c r="J65" s="37" t="s">
        <v>61</v>
      </c>
      <c r="K65" s="33">
        <v>4011.31</v>
      </c>
      <c r="L65" s="34" t="s">
        <v>61</v>
      </c>
    </row>
    <row r="66" ht="61" spans="1:12">
      <c r="A66" s="25" t="s">
        <v>196</v>
      </c>
      <c r="B66" s="26" t="s">
        <v>75</v>
      </c>
      <c r="C66" s="35" t="s">
        <v>76</v>
      </c>
      <c r="D66" s="27" t="s">
        <v>58</v>
      </c>
      <c r="E66" s="40" t="s">
        <v>58</v>
      </c>
      <c r="F66" s="41" t="s">
        <v>158</v>
      </c>
      <c r="G66" s="30" t="s">
        <v>197</v>
      </c>
      <c r="H66" s="36" t="s">
        <v>61</v>
      </c>
      <c r="I66" s="32">
        <v>1</v>
      </c>
      <c r="J66" s="37" t="s">
        <v>61</v>
      </c>
      <c r="K66" s="33">
        <v>1168.36</v>
      </c>
      <c r="L66" s="34" t="s">
        <v>61</v>
      </c>
    </row>
    <row r="67" ht="76" spans="1:12">
      <c r="A67" s="25" t="s">
        <v>198</v>
      </c>
      <c r="B67" s="26" t="s">
        <v>105</v>
      </c>
      <c r="C67" s="35" t="s">
        <v>76</v>
      </c>
      <c r="D67" s="27" t="s">
        <v>58</v>
      </c>
      <c r="E67" s="40" t="s">
        <v>58</v>
      </c>
      <c r="F67" s="41" t="s">
        <v>158</v>
      </c>
      <c r="G67" s="30" t="s">
        <v>19</v>
      </c>
      <c r="H67" s="36" t="s">
        <v>61</v>
      </c>
      <c r="I67" s="32">
        <v>1</v>
      </c>
      <c r="J67" s="37" t="s">
        <v>61</v>
      </c>
      <c r="K67" s="33">
        <v>2160.96</v>
      </c>
      <c r="L67" s="34" t="s">
        <v>61</v>
      </c>
    </row>
    <row r="68" ht="61" spans="1:12">
      <c r="A68" s="25" t="s">
        <v>199</v>
      </c>
      <c r="B68" s="26" t="s">
        <v>75</v>
      </c>
      <c r="C68" s="35" t="s">
        <v>76</v>
      </c>
      <c r="D68" s="27" t="s">
        <v>58</v>
      </c>
      <c r="E68" s="40" t="s">
        <v>58</v>
      </c>
      <c r="F68" s="41" t="s">
        <v>158</v>
      </c>
      <c r="G68" s="30" t="s">
        <v>200</v>
      </c>
      <c r="H68" s="36" t="s">
        <v>61</v>
      </c>
      <c r="I68" s="32">
        <v>1</v>
      </c>
      <c r="J68" s="37" t="s">
        <v>61</v>
      </c>
      <c r="K68" s="33">
        <v>11781.54</v>
      </c>
      <c r="L68" s="34" t="s">
        <v>61</v>
      </c>
    </row>
    <row r="69" ht="76" spans="1:12">
      <c r="A69" s="25" t="s">
        <v>201</v>
      </c>
      <c r="B69" s="26" t="s">
        <v>75</v>
      </c>
      <c r="C69" s="35" t="s">
        <v>76</v>
      </c>
      <c r="D69" s="27" t="s">
        <v>58</v>
      </c>
      <c r="E69" s="40" t="s">
        <v>58</v>
      </c>
      <c r="F69" s="41" t="s">
        <v>158</v>
      </c>
      <c r="G69" s="30" t="s">
        <v>202</v>
      </c>
      <c r="H69" s="36" t="s">
        <v>61</v>
      </c>
      <c r="I69" s="32">
        <v>1</v>
      </c>
      <c r="J69" s="37" t="s">
        <v>61</v>
      </c>
      <c r="K69" s="33">
        <v>1862.77</v>
      </c>
      <c r="L69" s="34" t="s">
        <v>61</v>
      </c>
    </row>
    <row r="70" ht="61" spans="1:12">
      <c r="A70" s="25" t="s">
        <v>203</v>
      </c>
      <c r="B70" s="26" t="s">
        <v>75</v>
      </c>
      <c r="C70" s="35" t="s">
        <v>76</v>
      </c>
      <c r="D70" s="27" t="s">
        <v>58</v>
      </c>
      <c r="E70" s="40" t="s">
        <v>58</v>
      </c>
      <c r="F70" s="41" t="s">
        <v>158</v>
      </c>
      <c r="G70" s="30" t="s">
        <v>19</v>
      </c>
      <c r="H70" s="36" t="s">
        <v>61</v>
      </c>
      <c r="I70" s="32">
        <v>1</v>
      </c>
      <c r="J70" s="37" t="s">
        <v>61</v>
      </c>
      <c r="K70" s="33">
        <v>74234.78</v>
      </c>
      <c r="L70" s="34" t="s">
        <v>61</v>
      </c>
    </row>
    <row r="71" ht="61" spans="1:12">
      <c r="A71" s="25" t="s">
        <v>204</v>
      </c>
      <c r="B71" s="26" t="s">
        <v>75</v>
      </c>
      <c r="C71" s="35" t="s">
        <v>76</v>
      </c>
      <c r="D71" s="27" t="s">
        <v>58</v>
      </c>
      <c r="E71" s="40" t="s">
        <v>58</v>
      </c>
      <c r="F71" s="41" t="s">
        <v>158</v>
      </c>
      <c r="G71" s="30" t="s">
        <v>19</v>
      </c>
      <c r="H71" s="36">
        <v>557.98</v>
      </c>
      <c r="I71" s="32">
        <v>0.2167</v>
      </c>
      <c r="J71" s="37" t="s">
        <v>61</v>
      </c>
      <c r="K71" s="33">
        <v>712.32</v>
      </c>
      <c r="L71" s="34">
        <v>557.98</v>
      </c>
    </row>
    <row r="72" ht="76" spans="1:12">
      <c r="A72" s="25" t="s">
        <v>205</v>
      </c>
      <c r="B72" s="26" t="s">
        <v>105</v>
      </c>
      <c r="C72" s="35" t="s">
        <v>76</v>
      </c>
      <c r="D72" s="27" t="s">
        <v>58</v>
      </c>
      <c r="E72" s="40" t="s">
        <v>58</v>
      </c>
      <c r="F72" s="41" t="s">
        <v>158</v>
      </c>
      <c r="G72" s="30" t="s">
        <v>206</v>
      </c>
      <c r="H72" s="36" t="s">
        <v>61</v>
      </c>
      <c r="I72" s="32">
        <v>1</v>
      </c>
      <c r="J72" s="37" t="s">
        <v>61</v>
      </c>
      <c r="K72" s="33">
        <v>12194.37</v>
      </c>
      <c r="L72" s="34" t="s">
        <v>61</v>
      </c>
    </row>
    <row r="73" ht="122" spans="1:12">
      <c r="A73" s="25" t="s">
        <v>207</v>
      </c>
      <c r="B73" s="26" t="s">
        <v>208</v>
      </c>
      <c r="C73" s="35" t="s">
        <v>76</v>
      </c>
      <c r="D73" s="27" t="s">
        <v>58</v>
      </c>
      <c r="E73" s="40" t="s">
        <v>58</v>
      </c>
      <c r="F73" s="41" t="s">
        <v>158</v>
      </c>
      <c r="G73" s="30" t="s">
        <v>20</v>
      </c>
      <c r="H73" s="36">
        <v>2826.53</v>
      </c>
      <c r="I73" s="32">
        <v>0.6219</v>
      </c>
      <c r="J73" s="37" t="s">
        <v>61</v>
      </c>
      <c r="K73" s="33">
        <v>7475.81</v>
      </c>
      <c r="L73" s="34">
        <v>2826.53</v>
      </c>
    </row>
    <row r="74" ht="122" spans="1:12">
      <c r="A74" s="25" t="s">
        <v>209</v>
      </c>
      <c r="B74" s="26" t="s">
        <v>210</v>
      </c>
      <c r="C74" s="35" t="s">
        <v>76</v>
      </c>
      <c r="D74" s="27" t="s">
        <v>58</v>
      </c>
      <c r="E74" s="40" t="s">
        <v>58</v>
      </c>
      <c r="F74" s="41" t="s">
        <v>158</v>
      </c>
      <c r="G74" s="30" t="s">
        <v>21</v>
      </c>
      <c r="H74" s="36">
        <v>389.28</v>
      </c>
      <c r="I74" s="32">
        <v>0.99</v>
      </c>
      <c r="J74" s="37" t="s">
        <v>61</v>
      </c>
      <c r="K74" s="33">
        <v>38927.77</v>
      </c>
      <c r="L74" s="34">
        <v>389.28</v>
      </c>
    </row>
    <row r="75" ht="76" spans="1:12">
      <c r="A75" s="25" t="s">
        <v>211</v>
      </c>
      <c r="B75" s="26" t="s">
        <v>105</v>
      </c>
      <c r="C75" s="35" t="s">
        <v>76</v>
      </c>
      <c r="D75" s="27" t="s">
        <v>58</v>
      </c>
      <c r="E75" s="40" t="s">
        <v>58</v>
      </c>
      <c r="F75" s="41" t="s">
        <v>158</v>
      </c>
      <c r="G75" s="30" t="s">
        <v>212</v>
      </c>
      <c r="H75" s="36" t="s">
        <v>61</v>
      </c>
      <c r="I75" s="32">
        <v>1</v>
      </c>
      <c r="J75" s="37" t="s">
        <v>61</v>
      </c>
      <c r="K75" s="33">
        <v>1116.83</v>
      </c>
      <c r="L75" s="34" t="s">
        <v>61</v>
      </c>
    </row>
    <row r="76" ht="122" spans="1:12">
      <c r="A76" s="25" t="s">
        <v>213</v>
      </c>
      <c r="B76" s="26" t="s">
        <v>214</v>
      </c>
      <c r="C76" s="35" t="s">
        <v>125</v>
      </c>
      <c r="D76" s="35" t="s">
        <v>115</v>
      </c>
      <c r="E76" s="40" t="s">
        <v>58</v>
      </c>
      <c r="F76" s="41" t="s">
        <v>158</v>
      </c>
      <c r="G76" s="30" t="s">
        <v>215</v>
      </c>
      <c r="H76" s="36">
        <v>8829.17</v>
      </c>
      <c r="I76" s="32">
        <v>0.8876</v>
      </c>
      <c r="J76" s="37" t="s">
        <v>61</v>
      </c>
      <c r="K76" s="33">
        <v>70700.15</v>
      </c>
      <c r="L76" s="34">
        <v>973.6</v>
      </c>
    </row>
    <row r="77" ht="122" spans="1:12">
      <c r="A77" s="25" t="s">
        <v>216</v>
      </c>
      <c r="B77" s="26" t="s">
        <v>214</v>
      </c>
      <c r="C77" s="35" t="s">
        <v>125</v>
      </c>
      <c r="D77" s="35" t="s">
        <v>115</v>
      </c>
      <c r="E77" s="40" t="s">
        <v>58</v>
      </c>
      <c r="F77" s="41" t="s">
        <v>158</v>
      </c>
      <c r="G77" s="30" t="s">
        <v>215</v>
      </c>
      <c r="H77" s="36">
        <v>-278.47</v>
      </c>
      <c r="I77" s="32">
        <v>1.0501</v>
      </c>
      <c r="J77" s="37">
        <v>209.39</v>
      </c>
      <c r="K77" s="33">
        <v>1589.28</v>
      </c>
      <c r="L77" s="34">
        <v>-69.08</v>
      </c>
    </row>
    <row r="78" ht="122" spans="1:12">
      <c r="A78" s="25" t="s">
        <v>217</v>
      </c>
      <c r="B78" s="26" t="s">
        <v>218</v>
      </c>
      <c r="C78" s="35" t="s">
        <v>57</v>
      </c>
      <c r="D78" s="27" t="s">
        <v>58</v>
      </c>
      <c r="E78" s="40" t="s">
        <v>115</v>
      </c>
      <c r="F78" s="41" t="s">
        <v>158</v>
      </c>
      <c r="G78" s="30" t="s">
        <v>22</v>
      </c>
      <c r="H78" s="36">
        <v>124.33</v>
      </c>
      <c r="I78" s="32">
        <v>0.9642</v>
      </c>
      <c r="J78" s="37" t="s">
        <v>61</v>
      </c>
      <c r="K78" s="33">
        <v>3124.83</v>
      </c>
      <c r="L78" s="34" t="s">
        <v>61</v>
      </c>
    </row>
    <row r="79" ht="150" spans="1:12">
      <c r="A79" s="25" t="s">
        <v>219</v>
      </c>
      <c r="B79" s="42" t="s">
        <v>220</v>
      </c>
      <c r="C79" s="35" t="s">
        <v>125</v>
      </c>
      <c r="D79" s="27" t="s">
        <v>115</v>
      </c>
      <c r="E79" s="40" t="s">
        <v>115</v>
      </c>
      <c r="F79" s="41" t="s">
        <v>221</v>
      </c>
      <c r="G79" s="30" t="s">
        <v>23</v>
      </c>
      <c r="H79" s="36">
        <v>2558.27</v>
      </c>
      <c r="I79" s="32">
        <v>0.8291</v>
      </c>
      <c r="J79" s="37" t="s">
        <v>61</v>
      </c>
      <c r="K79" s="33">
        <v>11973.17</v>
      </c>
      <c r="L79" s="34" t="s">
        <v>61</v>
      </c>
    </row>
    <row r="80" ht="122" spans="1:12">
      <c r="A80" s="25" t="s">
        <v>222</v>
      </c>
      <c r="B80" s="26" t="s">
        <v>223</v>
      </c>
      <c r="C80" s="35" t="s">
        <v>114</v>
      </c>
      <c r="D80" s="27" t="s">
        <v>58</v>
      </c>
      <c r="E80" s="40" t="s">
        <v>115</v>
      </c>
      <c r="F80" s="41" t="s">
        <v>221</v>
      </c>
      <c r="G80" s="30" t="s">
        <v>224</v>
      </c>
      <c r="H80" s="36">
        <v>22732.09</v>
      </c>
      <c r="I80" s="32">
        <v>0.7629</v>
      </c>
      <c r="J80" s="37" t="s">
        <v>61</v>
      </c>
      <c r="K80" s="33">
        <v>76689.2</v>
      </c>
      <c r="L80" s="34">
        <v>3559.79</v>
      </c>
    </row>
    <row r="81" ht="122" spans="1:12">
      <c r="A81" s="25" t="s">
        <v>225</v>
      </c>
      <c r="B81" s="26" t="s">
        <v>218</v>
      </c>
      <c r="C81" s="35" t="s">
        <v>76</v>
      </c>
      <c r="D81" s="27" t="s">
        <v>58</v>
      </c>
      <c r="E81" s="40" t="s">
        <v>58</v>
      </c>
      <c r="F81" s="41" t="s">
        <v>221</v>
      </c>
      <c r="G81" s="30" t="s">
        <v>24</v>
      </c>
      <c r="H81" s="36">
        <v>13153.68</v>
      </c>
      <c r="I81" s="32">
        <v>0.8207</v>
      </c>
      <c r="J81" s="37" t="s">
        <v>61</v>
      </c>
      <c r="K81" s="33">
        <v>72926.08</v>
      </c>
      <c r="L81" s="34">
        <v>12713.48</v>
      </c>
    </row>
    <row r="82" ht="122" spans="1:12">
      <c r="A82" s="25" t="s">
        <v>226</v>
      </c>
      <c r="B82" s="26" t="s">
        <v>218</v>
      </c>
      <c r="C82" s="35" t="s">
        <v>76</v>
      </c>
      <c r="D82" s="27" t="s">
        <v>58</v>
      </c>
      <c r="E82" s="40" t="s">
        <v>58</v>
      </c>
      <c r="F82" s="41" t="s">
        <v>221</v>
      </c>
      <c r="G82" s="30" t="s">
        <v>24</v>
      </c>
      <c r="H82" s="36">
        <v>19.97</v>
      </c>
      <c r="I82" s="32">
        <v>0.988</v>
      </c>
      <c r="J82" s="37" t="s">
        <v>61</v>
      </c>
      <c r="K82" s="33">
        <v>1655.55</v>
      </c>
      <c r="L82" s="34">
        <v>9.98</v>
      </c>
    </row>
    <row r="83" ht="107" spans="1:12">
      <c r="A83" s="25" t="s">
        <v>227</v>
      </c>
      <c r="B83" s="26" t="s">
        <v>228</v>
      </c>
      <c r="C83" s="35" t="s">
        <v>76</v>
      </c>
      <c r="D83" s="27" t="s">
        <v>58</v>
      </c>
      <c r="E83" s="40" t="s">
        <v>58</v>
      </c>
      <c r="F83" s="41" t="s">
        <v>221</v>
      </c>
      <c r="G83" s="30" t="s">
        <v>25</v>
      </c>
      <c r="H83" s="36">
        <v>7415.63</v>
      </c>
      <c r="I83" s="32">
        <v>0.8353</v>
      </c>
      <c r="J83" s="37" t="s">
        <v>61</v>
      </c>
      <c r="K83" s="33">
        <v>44750.05</v>
      </c>
      <c r="L83" s="34">
        <v>7145.51</v>
      </c>
    </row>
    <row r="84" ht="92" spans="1:12">
      <c r="A84" s="25" t="s">
        <v>229</v>
      </c>
      <c r="B84" s="26" t="s">
        <v>230</v>
      </c>
      <c r="C84" s="35" t="s">
        <v>76</v>
      </c>
      <c r="D84" s="27" t="s">
        <v>58</v>
      </c>
      <c r="E84" s="40" t="s">
        <v>58</v>
      </c>
      <c r="F84" s="41" t="s">
        <v>221</v>
      </c>
      <c r="G84" s="30" t="s">
        <v>26</v>
      </c>
      <c r="H84" s="36">
        <v>1132.88</v>
      </c>
      <c r="I84" s="32">
        <v>0.9656</v>
      </c>
      <c r="J84" s="37" t="s">
        <v>61</v>
      </c>
      <c r="K84" s="33">
        <v>32697.1</v>
      </c>
      <c r="L84" s="34">
        <v>935.51</v>
      </c>
    </row>
    <row r="85" ht="76" spans="1:12">
      <c r="A85" s="25" t="s">
        <v>231</v>
      </c>
      <c r="B85" s="26" t="s">
        <v>105</v>
      </c>
      <c r="C85" s="35" t="s">
        <v>76</v>
      </c>
      <c r="D85" s="27" t="s">
        <v>58</v>
      </c>
      <c r="E85" s="40" t="s">
        <v>58</v>
      </c>
      <c r="F85" s="41" t="s">
        <v>221</v>
      </c>
      <c r="G85" s="30" t="s">
        <v>232</v>
      </c>
      <c r="H85" s="36" t="s">
        <v>61</v>
      </c>
      <c r="I85" s="32">
        <v>1</v>
      </c>
      <c r="J85" s="37" t="s">
        <v>61</v>
      </c>
      <c r="K85" s="33">
        <v>1438.55</v>
      </c>
      <c r="L85" s="34" t="s">
        <v>61</v>
      </c>
    </row>
    <row r="86" ht="76" spans="1:12">
      <c r="A86" s="25" t="s">
        <v>233</v>
      </c>
      <c r="B86" s="26" t="s">
        <v>105</v>
      </c>
      <c r="C86" s="35" t="s">
        <v>76</v>
      </c>
      <c r="D86" s="27" t="s">
        <v>58</v>
      </c>
      <c r="E86" s="40" t="s">
        <v>58</v>
      </c>
      <c r="F86" s="41" t="s">
        <v>221</v>
      </c>
      <c r="G86" s="30" t="s">
        <v>234</v>
      </c>
      <c r="H86" s="36" t="s">
        <v>61</v>
      </c>
      <c r="I86" s="32">
        <v>1</v>
      </c>
      <c r="J86" s="37" t="s">
        <v>61</v>
      </c>
      <c r="K86" s="33">
        <v>10614.07</v>
      </c>
      <c r="L86" s="34" t="s">
        <v>61</v>
      </c>
    </row>
    <row r="87" ht="137" spans="1:12">
      <c r="A87" s="25" t="s">
        <v>235</v>
      </c>
      <c r="B87" s="26" t="s">
        <v>236</v>
      </c>
      <c r="C87" s="35" t="s">
        <v>57</v>
      </c>
      <c r="D87" s="35" t="s">
        <v>115</v>
      </c>
      <c r="E87" s="40" t="s">
        <v>58</v>
      </c>
      <c r="F87" s="41" t="s">
        <v>221</v>
      </c>
      <c r="G87" s="30" t="s">
        <v>237</v>
      </c>
      <c r="H87" s="36">
        <v>3870.91</v>
      </c>
      <c r="I87" s="32">
        <v>0.7958</v>
      </c>
      <c r="J87" s="37" t="s">
        <v>61</v>
      </c>
      <c r="K87" s="33">
        <v>17057.1</v>
      </c>
      <c r="L87" s="34">
        <v>1975.68</v>
      </c>
    </row>
    <row r="88" ht="168" spans="1:12">
      <c r="A88" s="25" t="s">
        <v>238</v>
      </c>
      <c r="B88" s="26" t="s">
        <v>239</v>
      </c>
      <c r="C88" s="35" t="s">
        <v>76</v>
      </c>
      <c r="D88" s="27" t="s">
        <v>58</v>
      </c>
      <c r="E88" s="40" t="s">
        <v>115</v>
      </c>
      <c r="F88" s="41" t="s">
        <v>221</v>
      </c>
      <c r="G88" s="30" t="s">
        <v>27</v>
      </c>
      <c r="H88" s="36">
        <v>2154.18</v>
      </c>
      <c r="I88" s="32">
        <v>0.845</v>
      </c>
      <c r="J88" s="37" t="s">
        <v>61</v>
      </c>
      <c r="K88" s="33">
        <v>13895.61</v>
      </c>
      <c r="L88" s="34">
        <v>2154.18</v>
      </c>
    </row>
    <row r="89" ht="152" spans="1:12">
      <c r="A89" s="25" t="s">
        <v>240</v>
      </c>
      <c r="B89" s="26" t="s">
        <v>241</v>
      </c>
      <c r="C89" s="35" t="s">
        <v>114</v>
      </c>
      <c r="D89" s="27" t="s">
        <v>58</v>
      </c>
      <c r="E89" s="40" t="s">
        <v>115</v>
      </c>
      <c r="F89" s="41" t="s">
        <v>221</v>
      </c>
      <c r="G89" s="30" t="s">
        <v>28</v>
      </c>
      <c r="H89" s="36">
        <v>10309.18</v>
      </c>
      <c r="I89" s="32">
        <v>0.4133</v>
      </c>
      <c r="J89" s="37" t="s">
        <v>61</v>
      </c>
      <c r="K89" s="33">
        <v>14056.14</v>
      </c>
      <c r="L89" s="34">
        <v>6795.14</v>
      </c>
    </row>
    <row r="90" ht="122" spans="1:12">
      <c r="A90" s="25" t="s">
        <v>242</v>
      </c>
      <c r="B90" s="26" t="s">
        <v>243</v>
      </c>
      <c r="C90" s="35" t="s">
        <v>57</v>
      </c>
      <c r="D90" s="27" t="s">
        <v>58</v>
      </c>
      <c r="E90" s="40" t="s">
        <v>58</v>
      </c>
      <c r="F90" s="41" t="s">
        <v>221</v>
      </c>
      <c r="G90" s="30" t="s">
        <v>29</v>
      </c>
      <c r="H90" s="36">
        <v>2682.16</v>
      </c>
      <c r="I90" s="32">
        <v>0.7886</v>
      </c>
      <c r="J90" s="37" t="s">
        <v>61</v>
      </c>
      <c r="K90" s="33">
        <v>9513.8</v>
      </c>
      <c r="L90" s="34">
        <v>-489.1</v>
      </c>
    </row>
    <row r="91" ht="122" spans="1:12">
      <c r="A91" s="25" t="s">
        <v>244</v>
      </c>
      <c r="B91" s="26" t="s">
        <v>243</v>
      </c>
      <c r="C91" s="35" t="s">
        <v>76</v>
      </c>
      <c r="D91" s="27" t="s">
        <v>58</v>
      </c>
      <c r="E91" s="40" t="s">
        <v>58</v>
      </c>
      <c r="F91" s="41" t="s">
        <v>221</v>
      </c>
      <c r="G91" s="30" t="s">
        <v>245</v>
      </c>
      <c r="H91" s="36" t="s">
        <v>61</v>
      </c>
      <c r="I91" s="32">
        <v>1</v>
      </c>
      <c r="J91" s="37" t="s">
        <v>61</v>
      </c>
      <c r="K91" s="33">
        <v>2432.19</v>
      </c>
      <c r="L91" s="34" t="s">
        <v>61</v>
      </c>
    </row>
    <row r="92" ht="122" spans="1:12">
      <c r="A92" s="25" t="s">
        <v>246</v>
      </c>
      <c r="B92" s="26" t="s">
        <v>247</v>
      </c>
      <c r="C92" s="35" t="s">
        <v>81</v>
      </c>
      <c r="D92" s="27" t="s">
        <v>58</v>
      </c>
      <c r="E92" s="40" t="s">
        <v>58</v>
      </c>
      <c r="F92" s="41" t="s">
        <v>221</v>
      </c>
      <c r="G92" s="30" t="s">
        <v>30</v>
      </c>
      <c r="H92" s="36">
        <v>36.38</v>
      </c>
      <c r="I92" s="32">
        <v>0.9885</v>
      </c>
      <c r="J92" s="37" t="s">
        <v>61</v>
      </c>
      <c r="K92" s="33">
        <v>2221.86</v>
      </c>
      <c r="L92" s="34" t="s">
        <v>61</v>
      </c>
    </row>
    <row r="93" ht="122" spans="1:12">
      <c r="A93" s="25" t="s">
        <v>248</v>
      </c>
      <c r="B93" s="26" t="s">
        <v>247</v>
      </c>
      <c r="C93" s="35" t="s">
        <v>81</v>
      </c>
      <c r="D93" s="27" t="s">
        <v>58</v>
      </c>
      <c r="E93" s="40" t="s">
        <v>58</v>
      </c>
      <c r="F93" s="41" t="s">
        <v>221</v>
      </c>
      <c r="G93" s="30" t="s">
        <v>30</v>
      </c>
      <c r="H93" s="36" t="s">
        <v>61</v>
      </c>
      <c r="I93" s="32"/>
      <c r="J93" s="37" t="s">
        <v>61</v>
      </c>
      <c r="K93" s="33" t="s">
        <v>61</v>
      </c>
      <c r="L93" s="34" t="s">
        <v>61</v>
      </c>
    </row>
    <row r="94" ht="122" spans="1:12">
      <c r="A94" s="25" t="s">
        <v>249</v>
      </c>
      <c r="B94" s="26" t="s">
        <v>247</v>
      </c>
      <c r="C94" s="35" t="s">
        <v>76</v>
      </c>
      <c r="D94" s="27" t="s">
        <v>58</v>
      </c>
      <c r="E94" s="40" t="s">
        <v>58</v>
      </c>
      <c r="F94" s="41" t="s">
        <v>167</v>
      </c>
      <c r="G94" s="30" t="s">
        <v>31</v>
      </c>
      <c r="H94" s="36">
        <v>19.79</v>
      </c>
      <c r="I94" s="32">
        <v>0.97</v>
      </c>
      <c r="J94" s="37" t="s">
        <v>61</v>
      </c>
      <c r="K94" s="33">
        <v>527.75</v>
      </c>
      <c r="L94" s="34" t="s">
        <v>61</v>
      </c>
    </row>
    <row r="95" ht="122" spans="1:12">
      <c r="A95" s="25" t="s">
        <v>250</v>
      </c>
      <c r="B95" s="26" t="s">
        <v>218</v>
      </c>
      <c r="C95" s="35" t="s">
        <v>57</v>
      </c>
      <c r="D95" s="27" t="s">
        <v>58</v>
      </c>
      <c r="E95" s="40" t="s">
        <v>58</v>
      </c>
      <c r="F95" s="41" t="s">
        <v>221</v>
      </c>
      <c r="G95" s="30" t="s">
        <v>32</v>
      </c>
      <c r="H95" s="36">
        <v>571.8</v>
      </c>
      <c r="I95" s="32">
        <v>0.8765</v>
      </c>
      <c r="J95" s="37" t="s">
        <v>61</v>
      </c>
      <c r="K95" s="33">
        <v>3935.01</v>
      </c>
      <c r="L95" s="34" t="s">
        <v>61</v>
      </c>
    </row>
    <row r="96" ht="137" spans="1:12">
      <c r="A96" s="25" t="s">
        <v>251</v>
      </c>
      <c r="B96" s="26" t="s">
        <v>252</v>
      </c>
      <c r="C96" s="35" t="s">
        <v>81</v>
      </c>
      <c r="D96" s="27" t="s">
        <v>58</v>
      </c>
      <c r="E96" s="40" t="s">
        <v>115</v>
      </c>
      <c r="F96" s="41" t="s">
        <v>221</v>
      </c>
      <c r="G96" s="30" t="s">
        <v>33</v>
      </c>
      <c r="H96" s="36">
        <v>1447.93</v>
      </c>
      <c r="I96" s="32">
        <v>0.6074</v>
      </c>
      <c r="J96" s="37" t="s">
        <v>61</v>
      </c>
      <c r="K96" s="33">
        <v>3134.74</v>
      </c>
      <c r="L96" s="34">
        <v>894.74</v>
      </c>
    </row>
    <row r="97" ht="152" spans="1:12">
      <c r="A97" s="25" t="s">
        <v>253</v>
      </c>
      <c r="B97" s="26" t="s">
        <v>241</v>
      </c>
      <c r="C97" s="35" t="s">
        <v>76</v>
      </c>
      <c r="D97" s="27" t="s">
        <v>58</v>
      </c>
      <c r="E97" s="40" t="s">
        <v>58</v>
      </c>
      <c r="F97" s="41" t="s">
        <v>167</v>
      </c>
      <c r="G97" s="30" t="s">
        <v>34</v>
      </c>
      <c r="H97" s="36">
        <v>316.87</v>
      </c>
      <c r="I97" s="32">
        <v>0.8283</v>
      </c>
      <c r="J97" s="37" t="s">
        <v>61</v>
      </c>
      <c r="K97" s="33">
        <v>1661.07</v>
      </c>
      <c r="L97" s="34">
        <v>132.31</v>
      </c>
    </row>
    <row r="98" ht="137" spans="1:12">
      <c r="A98" s="25" t="s">
        <v>254</v>
      </c>
      <c r="B98" s="26" t="s">
        <v>255</v>
      </c>
      <c r="C98" s="35" t="s">
        <v>76</v>
      </c>
      <c r="D98" s="27" t="s">
        <v>58</v>
      </c>
      <c r="E98" s="40" t="s">
        <v>58</v>
      </c>
      <c r="F98" s="41" t="s">
        <v>221</v>
      </c>
      <c r="G98" s="30" t="s">
        <v>35</v>
      </c>
      <c r="H98" s="36">
        <v>90.06</v>
      </c>
      <c r="I98" s="32">
        <v>0.98</v>
      </c>
      <c r="J98" s="37" t="s">
        <v>61</v>
      </c>
      <c r="K98" s="33">
        <v>4413.19</v>
      </c>
      <c r="L98" s="34">
        <v>-0.01</v>
      </c>
    </row>
    <row r="99" ht="152" spans="1:12">
      <c r="A99" s="25" t="s">
        <v>256</v>
      </c>
      <c r="B99" s="26" t="s">
        <v>257</v>
      </c>
      <c r="C99" s="35" t="s">
        <v>57</v>
      </c>
      <c r="D99" s="27" t="s">
        <v>58</v>
      </c>
      <c r="E99" s="40" t="s">
        <v>58</v>
      </c>
      <c r="F99" s="41" t="s">
        <v>221</v>
      </c>
      <c r="G99" s="30" t="s">
        <v>36</v>
      </c>
      <c r="H99" s="36">
        <v>15857.92</v>
      </c>
      <c r="I99" s="32">
        <v>0.7799</v>
      </c>
      <c r="J99" s="37" t="s">
        <v>61</v>
      </c>
      <c r="K99" s="33">
        <v>64835.1</v>
      </c>
      <c r="L99" s="34">
        <v>8654.02</v>
      </c>
    </row>
    <row r="100" ht="122" spans="1:12">
      <c r="A100" s="25" t="s">
        <v>258</v>
      </c>
      <c r="B100" s="26" t="s">
        <v>259</v>
      </c>
      <c r="C100" s="35" t="s">
        <v>125</v>
      </c>
      <c r="D100" s="27" t="s">
        <v>58</v>
      </c>
      <c r="E100" s="40" t="s">
        <v>58</v>
      </c>
      <c r="F100" s="41" t="s">
        <v>221</v>
      </c>
      <c r="G100" s="30" t="s">
        <v>37</v>
      </c>
      <c r="H100" s="36">
        <v>2441.62</v>
      </c>
      <c r="I100" s="32">
        <v>0.1866</v>
      </c>
      <c r="J100" s="37" t="s">
        <v>61</v>
      </c>
      <c r="K100" s="33">
        <v>1800.97</v>
      </c>
      <c r="L100" s="34">
        <v>1240.97</v>
      </c>
    </row>
    <row r="101" ht="122" spans="1:12">
      <c r="A101" s="25" t="s">
        <v>260</v>
      </c>
      <c r="B101" s="26" t="s">
        <v>259</v>
      </c>
      <c r="C101" s="35" t="s">
        <v>57</v>
      </c>
      <c r="D101" s="27" t="s">
        <v>58</v>
      </c>
      <c r="E101" s="40" t="s">
        <v>58</v>
      </c>
      <c r="F101" s="41" t="s">
        <v>221</v>
      </c>
      <c r="G101" s="30" t="s">
        <v>38</v>
      </c>
      <c r="H101" s="36">
        <v>580.89</v>
      </c>
      <c r="I101" s="32">
        <v>0.4953</v>
      </c>
      <c r="J101" s="37" t="s">
        <v>61</v>
      </c>
      <c r="K101" s="33">
        <v>920.71</v>
      </c>
      <c r="L101" s="34">
        <v>350.71</v>
      </c>
    </row>
    <row r="102" ht="122" spans="1:12">
      <c r="A102" s="25" t="s">
        <v>261</v>
      </c>
      <c r="B102" s="26" t="s">
        <v>259</v>
      </c>
      <c r="C102" s="35" t="s">
        <v>125</v>
      </c>
      <c r="D102" s="27" t="s">
        <v>58</v>
      </c>
      <c r="E102" s="40" t="s">
        <v>58</v>
      </c>
      <c r="F102" s="41" t="s">
        <v>167</v>
      </c>
      <c r="G102" s="30" t="s">
        <v>39</v>
      </c>
      <c r="H102" s="36">
        <v>939.14</v>
      </c>
      <c r="I102" s="32">
        <v>0.85</v>
      </c>
      <c r="J102" s="37" t="s">
        <v>61</v>
      </c>
      <c r="K102" s="33">
        <v>5321.76</v>
      </c>
      <c r="L102" s="34">
        <v>0.01</v>
      </c>
    </row>
    <row r="103" ht="152" spans="1:12">
      <c r="A103" s="25" t="s">
        <v>262</v>
      </c>
      <c r="B103" s="26" t="s">
        <v>263</v>
      </c>
      <c r="C103" s="35" t="s">
        <v>114</v>
      </c>
      <c r="D103" s="27" t="s">
        <v>58</v>
      </c>
      <c r="E103" s="40" t="s">
        <v>115</v>
      </c>
      <c r="F103" s="41" t="s">
        <v>264</v>
      </c>
      <c r="G103" s="30" t="s">
        <v>40</v>
      </c>
      <c r="H103" s="36">
        <v>-1671.21</v>
      </c>
      <c r="I103" s="32">
        <v>1</v>
      </c>
      <c r="J103" s="43">
        <v>1671.21</v>
      </c>
      <c r="K103" s="33">
        <v>6498.92</v>
      </c>
      <c r="L103" s="34">
        <v>-149.31</v>
      </c>
    </row>
    <row r="104" ht="152" spans="1:12">
      <c r="A104" s="25" t="s">
        <v>265</v>
      </c>
      <c r="B104" s="26" t="s">
        <v>263</v>
      </c>
      <c r="C104" s="35" t="s">
        <v>138</v>
      </c>
      <c r="D104" s="27" t="s">
        <v>58</v>
      </c>
      <c r="E104" s="40" t="s">
        <v>115</v>
      </c>
      <c r="F104" s="41" t="s">
        <v>264</v>
      </c>
      <c r="G104" s="30" t="s">
        <v>266</v>
      </c>
      <c r="H104" s="36" t="s">
        <v>61</v>
      </c>
      <c r="I104" s="32"/>
      <c r="J104" s="37"/>
      <c r="K104" s="33" t="s">
        <v>61</v>
      </c>
      <c r="L104" s="34" t="s">
        <v>61</v>
      </c>
    </row>
    <row r="105" ht="76" spans="1:12">
      <c r="A105" s="25" t="s">
        <v>267</v>
      </c>
      <c r="B105" s="26"/>
      <c r="C105" s="35" t="s">
        <v>114</v>
      </c>
      <c r="D105" s="27" t="s">
        <v>58</v>
      </c>
      <c r="E105" s="40" t="s">
        <v>115</v>
      </c>
      <c r="F105" s="41" t="s">
        <v>158</v>
      </c>
      <c r="G105" s="30" t="s">
        <v>41</v>
      </c>
      <c r="H105" s="36">
        <v>3069.71</v>
      </c>
      <c r="I105" s="32"/>
      <c r="J105" s="37"/>
      <c r="K105" s="37">
        <v>8593.23</v>
      </c>
      <c r="L105" s="44">
        <v>921.4</v>
      </c>
    </row>
    <row r="106" ht="46" spans="1:12">
      <c r="A106" s="25" t="s">
        <v>268</v>
      </c>
      <c r="B106" s="26"/>
      <c r="C106" s="35" t="s">
        <v>138</v>
      </c>
      <c r="D106" s="27" t="s">
        <v>58</v>
      </c>
      <c r="E106" s="40" t="s">
        <v>58</v>
      </c>
      <c r="F106" s="41" t="s">
        <v>221</v>
      </c>
      <c r="G106" s="30"/>
      <c r="H106" s="36" t="s">
        <v>61</v>
      </c>
      <c r="I106" s="32"/>
      <c r="J106" s="37"/>
      <c r="K106" s="37" t="s">
        <v>61</v>
      </c>
      <c r="L106" s="44" t="s">
        <v>61</v>
      </c>
    </row>
    <row r="107" ht="46" spans="1:12">
      <c r="A107" s="25" t="s">
        <v>269</v>
      </c>
      <c r="B107" s="26"/>
      <c r="C107" s="35" t="s">
        <v>138</v>
      </c>
      <c r="D107" s="27" t="s">
        <v>58</v>
      </c>
      <c r="E107" s="40" t="s">
        <v>115</v>
      </c>
      <c r="F107" s="41" t="s">
        <v>221</v>
      </c>
      <c r="G107" s="30"/>
      <c r="H107" s="36">
        <v>323.26</v>
      </c>
      <c r="I107" s="32"/>
      <c r="J107" s="37"/>
      <c r="K107" s="37">
        <v>64.65</v>
      </c>
      <c r="L107" s="44">
        <v>64.65</v>
      </c>
    </row>
    <row r="108" ht="46" spans="1:12">
      <c r="A108" s="25" t="s">
        <v>270</v>
      </c>
      <c r="B108" s="26"/>
      <c r="C108" s="35" t="s">
        <v>138</v>
      </c>
      <c r="D108" s="27" t="s">
        <v>58</v>
      </c>
      <c r="E108" s="40" t="s">
        <v>115</v>
      </c>
      <c r="F108" s="41" t="s">
        <v>221</v>
      </c>
      <c r="G108" s="30"/>
      <c r="H108" s="36" t="s">
        <v>61</v>
      </c>
      <c r="I108" s="32"/>
      <c r="J108" s="37"/>
      <c r="K108" s="37" t="s">
        <v>61</v>
      </c>
      <c r="L108" s="44" t="s">
        <v>61</v>
      </c>
    </row>
    <row r="109" ht="46" spans="1:12">
      <c r="A109" s="25" t="s">
        <v>271</v>
      </c>
      <c r="B109" s="26"/>
      <c r="C109" s="35" t="s">
        <v>114</v>
      </c>
      <c r="D109" s="27" t="s">
        <v>58</v>
      </c>
      <c r="E109" s="40" t="s">
        <v>58</v>
      </c>
      <c r="F109" s="41" t="s">
        <v>221</v>
      </c>
      <c r="G109" s="30"/>
      <c r="H109" s="36">
        <v>1725.31</v>
      </c>
      <c r="I109" s="32"/>
      <c r="J109" s="37"/>
      <c r="K109" s="37">
        <v>3837.68</v>
      </c>
      <c r="L109" s="44">
        <v>1606.62</v>
      </c>
    </row>
    <row r="110" ht="46" spans="1:12">
      <c r="A110" s="25" t="s">
        <v>272</v>
      </c>
      <c r="B110" s="26"/>
      <c r="C110" s="35" t="s">
        <v>114</v>
      </c>
      <c r="D110" s="27" t="s">
        <v>58</v>
      </c>
      <c r="E110" s="40" t="s">
        <v>58</v>
      </c>
      <c r="F110" s="41" t="s">
        <v>59</v>
      </c>
      <c r="G110" s="30" t="s">
        <v>273</v>
      </c>
      <c r="H110" s="36">
        <v>2543.76</v>
      </c>
      <c r="I110" s="32"/>
      <c r="J110" s="37"/>
      <c r="K110" s="37">
        <v>2658.52</v>
      </c>
      <c r="L110" s="44">
        <v>2248.37</v>
      </c>
    </row>
    <row r="111" ht="76" spans="1:12">
      <c r="A111" s="25" t="s">
        <v>274</v>
      </c>
      <c r="B111" s="26"/>
      <c r="C111" s="35" t="s">
        <v>138</v>
      </c>
      <c r="D111" s="27" t="s">
        <v>58</v>
      </c>
      <c r="E111" s="40"/>
      <c r="F111" s="41" t="s">
        <v>221</v>
      </c>
      <c r="G111" s="30"/>
      <c r="H111" s="36"/>
      <c r="I111" s="32"/>
      <c r="J111" s="37"/>
      <c r="K111" s="37"/>
      <c r="L111" s="44"/>
    </row>
    <row r="112" ht="76" spans="1:12">
      <c r="A112" s="25" t="s">
        <v>275</v>
      </c>
      <c r="B112" s="26"/>
      <c r="C112" s="35" t="s">
        <v>114</v>
      </c>
      <c r="D112" s="27" t="s">
        <v>58</v>
      </c>
      <c r="E112" s="40"/>
      <c r="F112" s="41" t="s">
        <v>118</v>
      </c>
      <c r="G112" s="30" t="s">
        <v>276</v>
      </c>
      <c r="H112" s="36"/>
      <c r="I112" s="32"/>
      <c r="J112" s="37"/>
      <c r="K112" s="37"/>
      <c r="L112" s="44"/>
    </row>
    <row r="113" spans="1:12">
      <c r="A113" s="25"/>
      <c r="B113" s="26"/>
      <c r="C113" s="35"/>
      <c r="D113" s="27"/>
      <c r="E113" s="40"/>
      <c r="F113" s="41"/>
      <c r="G113" s="30"/>
      <c r="H113" s="36"/>
      <c r="I113" s="32"/>
      <c r="J113" s="37"/>
      <c r="K113" s="37"/>
      <c r="L113" s="44"/>
    </row>
    <row r="114" spans="1:12">
      <c r="A114" s="25"/>
      <c r="B114" s="26"/>
      <c r="C114" s="35"/>
      <c r="D114" s="27"/>
      <c r="E114" s="40"/>
      <c r="F114" s="41"/>
      <c r="G114" s="30"/>
      <c r="H114" s="36"/>
      <c r="I114" s="32"/>
      <c r="J114" s="37"/>
      <c r="K114" s="37"/>
      <c r="L114" s="44"/>
    </row>
    <row r="115" spans="1:12">
      <c r="A115" s="25"/>
      <c r="B115" s="26"/>
      <c r="C115" s="35"/>
      <c r="D115" s="27"/>
      <c r="E115" s="40"/>
      <c r="F115" s="41"/>
      <c r="G115" s="30"/>
      <c r="H115" s="36"/>
      <c r="I115" s="32"/>
      <c r="J115" s="37"/>
      <c r="K115" s="37"/>
      <c r="L115" s="44"/>
    </row>
    <row r="116" spans="1:12">
      <c r="A116" s="25"/>
      <c r="B116" s="26"/>
      <c r="C116" s="35"/>
      <c r="D116" s="27"/>
      <c r="E116" s="40"/>
      <c r="F116" s="41"/>
      <c r="G116" s="30"/>
      <c r="H116" s="36"/>
      <c r="I116" s="32"/>
      <c r="J116" s="37"/>
      <c r="K116" s="37"/>
      <c r="L116" s="44"/>
    </row>
    <row r="117" ht="107" spans="1:12">
      <c r="A117" s="25" t="s">
        <v>277</v>
      </c>
      <c r="B117" s="26" t="s">
        <v>278</v>
      </c>
      <c r="C117" s="35"/>
      <c r="D117" s="35"/>
      <c r="E117" s="40"/>
      <c r="F117" s="45"/>
      <c r="G117" s="46"/>
      <c r="H117" s="36"/>
      <c r="I117" s="32"/>
      <c r="J117" s="37"/>
      <c r="K117" s="37"/>
      <c r="L117" s="44"/>
    </row>
    <row r="118" ht="92" spans="1:12">
      <c r="A118" s="25" t="s">
        <v>279</v>
      </c>
      <c r="B118" s="26" t="s">
        <v>280</v>
      </c>
      <c r="C118" s="35"/>
      <c r="D118" s="35"/>
      <c r="E118" s="40"/>
      <c r="F118" s="45"/>
      <c r="G118" s="46"/>
      <c r="H118" s="36"/>
      <c r="I118" s="47"/>
      <c r="J118" s="37"/>
      <c r="K118" s="37"/>
      <c r="L118" s="44"/>
    </row>
    <row r="119" ht="92" spans="1:12">
      <c r="A119" s="25" t="s">
        <v>281</v>
      </c>
      <c r="B119" s="26" t="s">
        <v>282</v>
      </c>
      <c r="C119" s="35"/>
      <c r="D119" s="35"/>
      <c r="E119" s="40"/>
      <c r="F119" s="45"/>
      <c r="G119" s="46"/>
      <c r="H119" s="36"/>
      <c r="I119" s="47"/>
      <c r="J119" s="37"/>
      <c r="K119" s="37"/>
      <c r="L119" s="44"/>
    </row>
    <row r="120" ht="61" spans="1:12">
      <c r="A120" s="25" t="s">
        <v>283</v>
      </c>
      <c r="B120" s="26" t="s">
        <v>75</v>
      </c>
      <c r="C120" s="35"/>
      <c r="D120" s="35"/>
      <c r="E120" s="40"/>
      <c r="F120" s="45"/>
      <c r="G120" s="46"/>
      <c r="H120" s="36"/>
      <c r="I120" s="47"/>
      <c r="J120" s="37"/>
      <c r="K120" s="37"/>
      <c r="L120" s="44"/>
    </row>
    <row r="121" ht="61" spans="1:12">
      <c r="A121" s="25" t="s">
        <v>284</v>
      </c>
      <c r="B121" s="26" t="s">
        <v>75</v>
      </c>
      <c r="C121" s="35"/>
      <c r="D121" s="35"/>
      <c r="E121" s="40"/>
      <c r="F121" s="45"/>
      <c r="G121" s="46"/>
      <c r="H121" s="36"/>
      <c r="I121" s="47"/>
      <c r="J121" s="37"/>
      <c r="K121" s="37"/>
      <c r="L121" s="44"/>
    </row>
    <row r="122" ht="61" spans="1:12">
      <c r="A122" s="25" t="s">
        <v>285</v>
      </c>
      <c r="B122" s="26" t="s">
        <v>75</v>
      </c>
      <c r="C122" s="35"/>
      <c r="D122" s="35"/>
      <c r="E122" s="40"/>
      <c r="F122" s="45"/>
      <c r="G122" s="46"/>
      <c r="H122" s="36"/>
      <c r="I122" s="47"/>
      <c r="J122" s="37"/>
      <c r="K122" s="37"/>
      <c r="L122" s="44"/>
    </row>
    <row r="123" ht="76" spans="1:12">
      <c r="A123" s="25" t="s">
        <v>286</v>
      </c>
      <c r="B123" s="26" t="s">
        <v>287</v>
      </c>
      <c r="C123" s="35"/>
      <c r="D123" s="35"/>
      <c r="E123" s="40"/>
      <c r="F123" s="45"/>
      <c r="G123" s="46"/>
      <c r="H123" s="36"/>
      <c r="I123" s="47"/>
      <c r="J123" s="37"/>
      <c r="K123" s="37"/>
      <c r="L123" s="44"/>
    </row>
    <row r="124" ht="92" spans="1:12">
      <c r="A124" s="25" t="s">
        <v>288</v>
      </c>
      <c r="B124" s="26" t="s">
        <v>289</v>
      </c>
      <c r="C124" s="35"/>
      <c r="D124" s="35"/>
      <c r="E124" s="40"/>
      <c r="F124" s="45"/>
      <c r="G124" s="46"/>
      <c r="H124" s="36"/>
      <c r="I124" s="47"/>
      <c r="J124" s="37"/>
      <c r="K124" s="37"/>
      <c r="L124" s="44"/>
    </row>
    <row r="125" ht="92" spans="1:12">
      <c r="A125" s="25" t="s">
        <v>290</v>
      </c>
      <c r="B125" s="26" t="s">
        <v>291</v>
      </c>
      <c r="C125" s="35"/>
      <c r="D125" s="35"/>
      <c r="E125" s="40"/>
      <c r="F125" s="45"/>
      <c r="G125" s="46"/>
      <c r="H125" s="36"/>
      <c r="I125" s="47"/>
      <c r="J125" s="37"/>
      <c r="K125" s="37"/>
      <c r="L125" s="44"/>
    </row>
    <row r="126" ht="92" spans="1:12">
      <c r="A126" s="25" t="s">
        <v>292</v>
      </c>
      <c r="B126" s="26" t="s">
        <v>293</v>
      </c>
      <c r="C126" s="35"/>
      <c r="D126" s="35"/>
      <c r="E126" s="40"/>
      <c r="F126" s="45"/>
      <c r="G126" s="46"/>
      <c r="H126" s="36"/>
      <c r="I126" s="47"/>
      <c r="J126" s="37"/>
      <c r="K126" s="37"/>
      <c r="L126" s="44"/>
    </row>
    <row r="127" spans="1:12">
      <c r="A127" s="25"/>
      <c r="B127" s="26"/>
      <c r="C127" s="35"/>
      <c r="D127" s="35"/>
      <c r="E127" s="40"/>
      <c r="F127" s="45"/>
      <c r="G127" s="46"/>
      <c r="H127" s="36"/>
      <c r="I127" s="47"/>
      <c r="J127" s="37"/>
      <c r="K127" s="37"/>
      <c r="L127" s="44"/>
    </row>
    <row r="128" ht="17.55" spans="1:12">
      <c r="A128" s="48" t="s">
        <v>294</v>
      </c>
      <c r="B128" s="49"/>
      <c r="C128" s="50"/>
      <c r="D128" s="50"/>
      <c r="E128" s="51"/>
      <c r="F128" s="51"/>
      <c r="G128" s="52"/>
      <c r="H128" s="53">
        <v>201589.1</v>
      </c>
      <c r="I128" s="54">
        <v>0.9202</v>
      </c>
      <c r="J128" s="55">
        <v>7475.17</v>
      </c>
      <c r="K128" s="55">
        <v>2525866.61</v>
      </c>
      <c r="L128" s="56">
        <v>110568.79</v>
      </c>
    </row>
    <row r="129" ht="17.6" spans="1:12">
      <c r="A129" s="57"/>
      <c r="B129" s="57"/>
      <c r="C129" s="58"/>
      <c r="D129" s="3"/>
      <c r="E129" s="59"/>
      <c r="F129" s="59"/>
      <c r="G129" s="60"/>
      <c r="H129" s="61"/>
      <c r="I129" s="62"/>
      <c r="J129" s="61"/>
      <c r="K129" s="61"/>
      <c r="L129" s="61"/>
    </row>
    <row r="130" ht="17.6" spans="1:12">
      <c r="A130" s="57"/>
      <c r="B130" s="57"/>
      <c r="C130" s="58"/>
      <c r="D130" s="3"/>
      <c r="E130" s="59"/>
      <c r="F130" s="59"/>
      <c r="G130" s="60"/>
      <c r="H130" s="61"/>
      <c r="I130" s="62"/>
      <c r="J130" s="61"/>
      <c r="K130" s="61"/>
      <c r="L130" s="61"/>
    </row>
    <row r="131" ht="17.6" spans="1:12">
      <c r="A131" s="57"/>
      <c r="B131" s="57"/>
      <c r="C131" s="58"/>
      <c r="D131" s="3"/>
      <c r="E131" s="59"/>
      <c r="F131" s="59"/>
      <c r="G131" s="60"/>
      <c r="H131" s="61"/>
      <c r="I131" s="62"/>
      <c r="J131" s="61"/>
      <c r="K131" s="61"/>
      <c r="L131" s="61"/>
    </row>
    <row r="132" ht="17.6" spans="1:12">
      <c r="A132" s="57"/>
      <c r="B132" s="57"/>
      <c r="C132" s="58"/>
      <c r="D132" s="3"/>
      <c r="E132" s="59"/>
      <c r="F132" s="59"/>
      <c r="G132" s="60"/>
      <c r="H132" s="61"/>
      <c r="I132" s="62"/>
      <c r="J132" s="61"/>
      <c r="K132" s="61"/>
      <c r="L132" s="61"/>
    </row>
    <row r="133" spans="1:12">
      <c r="A133" s="63"/>
      <c r="B133" s="63"/>
      <c r="C133" s="64"/>
      <c r="D133" s="64"/>
      <c r="E133" s="64"/>
      <c r="F133" s="64"/>
      <c r="G133" s="63"/>
      <c r="H133" s="61"/>
      <c r="I133" s="62"/>
      <c r="J133" s="61"/>
      <c r="K133" s="61"/>
      <c r="L133" s="61"/>
    </row>
    <row r="134" spans="1:12">
      <c r="A134" s="63"/>
      <c r="B134" s="63"/>
      <c r="C134" s="64"/>
      <c r="D134" s="64"/>
      <c r="E134" s="64"/>
      <c r="F134" s="64"/>
      <c r="G134" s="63"/>
      <c r="H134" s="61"/>
      <c r="I134" s="62"/>
      <c r="J134" s="61"/>
      <c r="K134" s="61"/>
      <c r="L134" s="61"/>
    </row>
    <row r="135" spans="1:12">
      <c r="A135" s="63"/>
      <c r="B135" s="63"/>
      <c r="C135" s="64"/>
      <c r="D135" s="64"/>
      <c r="E135" s="64"/>
      <c r="F135" s="64"/>
      <c r="G135" s="63"/>
      <c r="H135" s="61"/>
      <c r="I135" s="62"/>
      <c r="J135" s="61"/>
      <c r="K135" s="61"/>
      <c r="L135" s="61"/>
    </row>
    <row r="136" spans="1:12">
      <c r="A136" s="63"/>
      <c r="B136" s="63"/>
      <c r="C136" s="64"/>
      <c r="D136" s="64"/>
      <c r="E136" s="64"/>
      <c r="F136" s="64"/>
      <c r="G136" s="63"/>
      <c r="H136" s="61"/>
      <c r="I136" s="62"/>
      <c r="J136" s="61"/>
      <c r="K136" s="61"/>
      <c r="L136" s="61"/>
    </row>
    <row r="137" spans="1:12">
      <c r="A137" s="63"/>
      <c r="B137" s="63"/>
      <c r="C137" s="64"/>
      <c r="D137" s="64"/>
      <c r="E137" s="64"/>
      <c r="F137" s="64"/>
      <c r="G137" s="63"/>
      <c r="H137" s="61"/>
      <c r="I137" s="62"/>
      <c r="J137" s="61"/>
      <c r="K137" s="61"/>
      <c r="L137" s="61"/>
    </row>
    <row r="138" spans="1:12">
      <c r="A138" s="63"/>
      <c r="B138" s="63"/>
      <c r="C138" s="64"/>
      <c r="D138" s="64"/>
      <c r="E138" s="64"/>
      <c r="F138" s="64"/>
      <c r="G138" s="63"/>
      <c r="H138" s="61"/>
      <c r="I138" s="62"/>
      <c r="J138" s="61"/>
      <c r="K138" s="61"/>
      <c r="L138" s="61"/>
    </row>
    <row r="139" spans="1:12">
      <c r="A139" s="63"/>
      <c r="B139" s="63"/>
      <c r="C139" s="64"/>
      <c r="D139" s="64"/>
      <c r="E139" s="64"/>
      <c r="F139" s="64"/>
      <c r="G139" s="63"/>
      <c r="H139" s="61"/>
      <c r="I139" s="62"/>
      <c r="J139" s="61"/>
      <c r="K139" s="61"/>
      <c r="L139" s="61"/>
    </row>
    <row r="140" spans="1:12">
      <c r="A140" s="63"/>
      <c r="B140" s="63"/>
      <c r="C140" s="64"/>
      <c r="D140" s="64"/>
      <c r="E140" s="64"/>
      <c r="F140" s="64"/>
      <c r="G140" s="63"/>
      <c r="H140" s="61"/>
      <c r="I140" s="62"/>
      <c r="J140" s="61"/>
      <c r="K140" s="61"/>
      <c r="L140" s="61"/>
    </row>
    <row r="141" spans="1:12">
      <c r="A141" s="63"/>
      <c r="B141" s="63"/>
      <c r="C141" s="64"/>
      <c r="D141" s="64"/>
      <c r="E141" s="64"/>
      <c r="F141" s="64"/>
      <c r="G141" s="63"/>
      <c r="H141" s="61"/>
      <c r="I141" s="62"/>
      <c r="J141" s="61"/>
      <c r="K141" s="61"/>
      <c r="L141" s="61"/>
    </row>
    <row r="142" spans="1:12">
      <c r="A142" s="63"/>
      <c r="B142" s="63"/>
      <c r="C142" s="64"/>
      <c r="D142" s="64"/>
      <c r="E142" s="64"/>
      <c r="F142" s="64"/>
      <c r="G142" s="63"/>
      <c r="H142" s="61"/>
      <c r="I142" s="62"/>
      <c r="J142" s="61"/>
      <c r="K142" s="61"/>
      <c r="L142" s="61"/>
    </row>
    <row r="143" spans="1:12">
      <c r="A143" s="63"/>
      <c r="B143" s="63"/>
      <c r="C143" s="64"/>
      <c r="D143" s="64"/>
      <c r="E143" s="64"/>
      <c r="F143" s="64"/>
      <c r="G143" s="63"/>
      <c r="H143" s="61"/>
      <c r="I143" s="62"/>
      <c r="J143" s="61"/>
      <c r="K143" s="61"/>
      <c r="L143" s="61"/>
    </row>
    <row r="144" ht="17.6" spans="1:12">
      <c r="A144" s="57"/>
      <c r="B144" s="57"/>
      <c r="C144" s="64"/>
      <c r="D144" s="64"/>
      <c r="E144" s="64"/>
      <c r="F144" s="64"/>
      <c r="G144" s="60"/>
      <c r="H144" s="61"/>
      <c r="I144" s="62"/>
      <c r="J144" s="61"/>
      <c r="K144" s="61"/>
      <c r="L144" s="61"/>
    </row>
    <row r="145" ht="17.6" spans="1:12">
      <c r="A145" s="57"/>
      <c r="B145" s="57"/>
      <c r="C145" s="64"/>
      <c r="D145" s="64"/>
      <c r="E145" s="64"/>
      <c r="F145" s="64"/>
      <c r="G145" s="60"/>
      <c r="H145" s="61"/>
      <c r="I145" s="62"/>
      <c r="J145" s="61"/>
      <c r="K145" s="61"/>
      <c r="L145" s="61"/>
    </row>
    <row r="146" ht="17.6" spans="1:12">
      <c r="A146" s="57"/>
      <c r="B146" s="57"/>
      <c r="C146" s="64"/>
      <c r="D146" s="64"/>
      <c r="E146" s="64"/>
      <c r="F146" s="64"/>
      <c r="G146" s="60"/>
      <c r="H146" s="61"/>
      <c r="I146" s="62"/>
      <c r="J146" s="61"/>
      <c r="K146" s="61"/>
      <c r="L146" s="61"/>
    </row>
    <row r="147" ht="17.6" spans="1:12">
      <c r="A147" s="57"/>
      <c r="B147" s="57"/>
      <c r="C147" s="64"/>
      <c r="D147" s="64"/>
      <c r="E147" s="64"/>
      <c r="F147" s="64"/>
      <c r="G147" s="60"/>
      <c r="H147" s="61"/>
      <c r="I147" s="62"/>
      <c r="J147" s="61"/>
      <c r="K147" s="61"/>
      <c r="L147" s="61"/>
    </row>
    <row r="148" ht="17.6" spans="1:12">
      <c r="A148" s="57"/>
      <c r="B148" s="57"/>
      <c r="C148" s="64"/>
      <c r="D148" s="64"/>
      <c r="E148" s="64"/>
      <c r="F148" s="64"/>
      <c r="G148" s="60"/>
      <c r="H148" s="61"/>
      <c r="I148" s="62"/>
      <c r="J148" s="61"/>
      <c r="K148" s="61"/>
      <c r="L148" s="61"/>
    </row>
    <row r="149" ht="17.6" spans="1:12">
      <c r="A149" s="57"/>
      <c r="B149" s="57"/>
      <c r="C149" s="64"/>
      <c r="D149" s="64"/>
      <c r="E149" s="64"/>
      <c r="F149" s="64"/>
      <c r="G149" s="60"/>
      <c r="H149" s="61"/>
      <c r="I149" s="62"/>
      <c r="J149" s="61"/>
      <c r="K149" s="61"/>
      <c r="L149" s="61"/>
    </row>
    <row r="150" ht="17.6" spans="1:12">
      <c r="A150" s="57"/>
      <c r="B150" s="57"/>
      <c r="C150" s="64"/>
      <c r="D150" s="64"/>
      <c r="E150" s="64"/>
      <c r="F150" s="64"/>
      <c r="G150" s="60"/>
      <c r="H150" s="61"/>
      <c r="I150" s="62"/>
      <c r="J150" s="61"/>
      <c r="K150" s="61"/>
      <c r="L150" s="61"/>
    </row>
    <row r="151" ht="17.6" spans="1:12">
      <c r="A151" s="57"/>
      <c r="B151" s="57"/>
      <c r="C151" s="64"/>
      <c r="D151" s="64"/>
      <c r="E151" s="64"/>
      <c r="F151" s="64"/>
      <c r="G151" s="60"/>
      <c r="H151" s="61"/>
      <c r="I151" s="62"/>
      <c r="J151" s="61"/>
      <c r="K151" s="61"/>
      <c r="L151" s="61"/>
    </row>
    <row r="152" ht="17.6" spans="1:12">
      <c r="A152" s="57"/>
      <c r="B152" s="57"/>
      <c r="C152" s="64"/>
      <c r="D152" s="64"/>
      <c r="E152" s="64"/>
      <c r="F152" s="64"/>
      <c r="G152" s="60"/>
      <c r="H152" s="61"/>
      <c r="I152" s="62"/>
      <c r="J152" s="61"/>
      <c r="K152" s="61"/>
      <c r="L152" s="61"/>
    </row>
    <row r="153" ht="17.6" spans="1:12">
      <c r="A153" s="57"/>
      <c r="B153" s="57"/>
      <c r="C153" s="64"/>
      <c r="D153" s="64"/>
      <c r="E153" s="64"/>
      <c r="F153" s="64"/>
      <c r="G153" s="60"/>
      <c r="H153" s="61"/>
      <c r="I153" s="62"/>
      <c r="J153" s="61"/>
      <c r="K153" s="61"/>
      <c r="L153" s="61"/>
    </row>
    <row r="154" ht="17.6" spans="1:12">
      <c r="A154" s="57"/>
      <c r="B154" s="57"/>
      <c r="C154" s="64"/>
      <c r="D154" s="64"/>
      <c r="E154" s="64"/>
      <c r="F154" s="64"/>
      <c r="G154" s="60"/>
      <c r="H154" s="61"/>
      <c r="I154" s="62"/>
      <c r="J154" s="61"/>
      <c r="K154" s="61"/>
      <c r="L154" s="61"/>
    </row>
    <row r="155" ht="17.6" spans="1:12">
      <c r="A155" s="57"/>
      <c r="B155" s="57"/>
      <c r="C155" s="64"/>
      <c r="D155" s="64"/>
      <c r="E155" s="64"/>
      <c r="F155" s="64"/>
      <c r="G155" s="60"/>
      <c r="H155" s="61"/>
      <c r="I155" s="62"/>
      <c r="J155" s="61"/>
      <c r="K155" s="61"/>
      <c r="L155" s="61"/>
    </row>
    <row r="156" ht="17.6" spans="1:12">
      <c r="A156" s="57"/>
      <c r="B156" s="57"/>
      <c r="C156" s="64"/>
      <c r="D156" s="64"/>
      <c r="E156" s="64"/>
      <c r="F156" s="64"/>
      <c r="G156" s="60"/>
      <c r="H156" s="61"/>
      <c r="I156" s="62"/>
      <c r="J156" s="61"/>
      <c r="K156" s="61"/>
      <c r="L156" s="61"/>
    </row>
    <row r="157" ht="17.6" spans="1:12">
      <c r="A157" s="57"/>
      <c r="B157" s="57"/>
      <c r="C157" s="64"/>
      <c r="D157" s="64"/>
      <c r="E157" s="64"/>
      <c r="F157" s="64"/>
      <c r="G157" s="60"/>
      <c r="H157" s="61"/>
      <c r="I157" s="62"/>
      <c r="J157" s="61"/>
      <c r="K157" s="61"/>
      <c r="L157" s="61"/>
    </row>
    <row r="158" ht="17.6" spans="1:12">
      <c r="A158" s="57"/>
      <c r="B158" s="57"/>
      <c r="C158" s="64"/>
      <c r="D158" s="64"/>
      <c r="E158" s="64"/>
      <c r="F158" s="64"/>
      <c r="G158" s="60"/>
      <c r="H158" s="61"/>
      <c r="I158" s="62"/>
      <c r="J158" s="61"/>
      <c r="K158" s="61"/>
      <c r="L158" s="61"/>
    </row>
    <row r="159" ht="17.6" spans="1:12">
      <c r="A159" s="57"/>
      <c r="B159" s="57"/>
      <c r="C159" s="64"/>
      <c r="D159" s="64"/>
      <c r="E159" s="64"/>
      <c r="F159" s="64"/>
      <c r="G159" s="60"/>
      <c r="H159" s="61"/>
      <c r="I159" s="62"/>
      <c r="J159" s="61"/>
      <c r="K159" s="61"/>
      <c r="L159" s="61"/>
    </row>
    <row r="160" ht="17.6" spans="1:12">
      <c r="A160" s="57"/>
      <c r="B160" s="57"/>
      <c r="C160" s="64"/>
      <c r="D160" s="64"/>
      <c r="E160" s="64"/>
      <c r="F160" s="64"/>
      <c r="G160" s="60"/>
      <c r="H160" s="61"/>
      <c r="I160" s="62"/>
      <c r="J160" s="61"/>
      <c r="K160" s="61"/>
      <c r="L160" s="61"/>
    </row>
    <row r="161" ht="17.6" spans="1:12">
      <c r="A161" s="57"/>
      <c r="B161" s="57"/>
      <c r="C161" s="64"/>
      <c r="D161" s="64"/>
      <c r="E161" s="64"/>
      <c r="F161" s="64"/>
      <c r="G161" s="60"/>
      <c r="H161" s="61"/>
      <c r="I161" s="62"/>
      <c r="J161" s="61"/>
      <c r="K161" s="61"/>
      <c r="L161" s="61"/>
    </row>
    <row r="162" ht="17.6" spans="1:12">
      <c r="A162" s="57"/>
      <c r="B162" s="57"/>
      <c r="C162" s="64"/>
      <c r="D162" s="64"/>
      <c r="E162" s="64"/>
      <c r="F162" s="64"/>
      <c r="G162" s="60"/>
      <c r="H162" s="61"/>
      <c r="I162" s="62"/>
      <c r="J162" s="61"/>
      <c r="K162" s="61"/>
      <c r="L162" s="61"/>
    </row>
    <row r="163" ht="17.6" spans="1:12">
      <c r="A163" s="57"/>
      <c r="B163" s="57"/>
      <c r="C163" s="64"/>
      <c r="D163" s="64"/>
      <c r="E163" s="64"/>
      <c r="F163" s="64"/>
      <c r="G163" s="60"/>
      <c r="H163" s="61"/>
      <c r="I163" s="62"/>
      <c r="J163" s="61"/>
      <c r="K163" s="61"/>
      <c r="L163" s="61"/>
    </row>
    <row r="164" ht="17.6" spans="1:12">
      <c r="A164" s="57"/>
      <c r="B164" s="57"/>
      <c r="C164" s="64"/>
      <c r="D164" s="64"/>
      <c r="E164" s="64"/>
      <c r="F164" s="64"/>
      <c r="G164" s="60"/>
      <c r="H164" s="61"/>
      <c r="I164" s="62"/>
      <c r="J164" s="61"/>
      <c r="K164" s="61"/>
      <c r="L164" s="61"/>
    </row>
    <row r="165" ht="17.6" spans="1:12">
      <c r="A165" s="57"/>
      <c r="B165" s="57"/>
      <c r="C165" s="64"/>
      <c r="D165" s="64"/>
      <c r="E165" s="64"/>
      <c r="F165" s="64"/>
      <c r="G165" s="60"/>
      <c r="H165" s="61"/>
      <c r="I165" s="62"/>
      <c r="J165" s="61"/>
      <c r="K165" s="61"/>
      <c r="L165" s="61"/>
    </row>
    <row r="166" ht="17.6" spans="1:12">
      <c r="A166" s="57"/>
      <c r="B166" s="57"/>
      <c r="C166" s="64"/>
      <c r="D166" s="64"/>
      <c r="E166" s="64"/>
      <c r="F166" s="64"/>
      <c r="G166" s="60"/>
      <c r="H166" s="61"/>
      <c r="I166" s="62"/>
      <c r="J166" s="61"/>
      <c r="K166" s="61"/>
      <c r="L166" s="61"/>
    </row>
    <row r="167" ht="17.6" spans="1:12">
      <c r="A167" s="57"/>
      <c r="B167" s="57"/>
      <c r="C167" s="64"/>
      <c r="D167" s="64"/>
      <c r="E167" s="64"/>
      <c r="F167" s="64"/>
      <c r="G167" s="60"/>
      <c r="H167" s="61"/>
      <c r="I167" s="62"/>
      <c r="J167" s="61"/>
      <c r="K167" s="61"/>
      <c r="L167" s="61"/>
    </row>
    <row r="168" ht="17.6" spans="1:12">
      <c r="A168" s="57"/>
      <c r="B168" s="57"/>
      <c r="C168" s="64"/>
      <c r="D168" s="64"/>
      <c r="E168" s="64"/>
      <c r="F168" s="64"/>
      <c r="G168" s="60"/>
      <c r="H168" s="61"/>
      <c r="I168" s="62"/>
      <c r="J168" s="61"/>
      <c r="K168" s="61"/>
      <c r="L168" s="61"/>
    </row>
    <row r="169" ht="17.6" spans="1:12">
      <c r="A169" s="57"/>
      <c r="B169" s="57"/>
      <c r="C169" s="64"/>
      <c r="D169" s="64"/>
      <c r="E169" s="64"/>
      <c r="F169" s="64"/>
      <c r="G169" s="60"/>
      <c r="H169" s="61"/>
      <c r="I169" s="62"/>
      <c r="J169" s="61"/>
      <c r="K169" s="61"/>
      <c r="L169" s="61"/>
    </row>
    <row r="170" ht="17.6" spans="1:12">
      <c r="A170" s="57"/>
      <c r="B170" s="57"/>
      <c r="C170" s="64"/>
      <c r="D170" s="64"/>
      <c r="E170" s="64"/>
      <c r="F170" s="64"/>
      <c r="G170" s="60"/>
      <c r="H170" s="61"/>
      <c r="I170" s="62"/>
      <c r="J170" s="61"/>
      <c r="K170" s="61"/>
      <c r="L170" s="61"/>
    </row>
    <row r="171" ht="17.6" spans="1:12">
      <c r="A171" s="57"/>
      <c r="B171" s="57"/>
      <c r="C171" s="64"/>
      <c r="D171" s="64"/>
      <c r="E171" s="64"/>
      <c r="F171" s="64"/>
      <c r="G171" s="60"/>
      <c r="H171" s="61"/>
      <c r="I171" s="62"/>
      <c r="J171" s="61"/>
      <c r="K171" s="61"/>
      <c r="L171" s="61"/>
    </row>
    <row r="172" ht="17.6" spans="1:12">
      <c r="A172" s="57"/>
      <c r="B172" s="57"/>
      <c r="C172" s="64"/>
      <c r="D172" s="64"/>
      <c r="E172" s="64"/>
      <c r="F172" s="64"/>
      <c r="G172" s="60"/>
      <c r="H172" s="61"/>
      <c r="I172" s="62"/>
      <c r="J172" s="61"/>
      <c r="K172" s="61"/>
      <c r="L172" s="61"/>
    </row>
    <row r="173" ht="17.6" spans="1:12">
      <c r="A173" s="57"/>
      <c r="B173" s="57"/>
      <c r="C173" s="64"/>
      <c r="D173" s="64"/>
      <c r="E173" s="64"/>
      <c r="F173" s="64"/>
      <c r="G173" s="60"/>
      <c r="H173" s="61"/>
      <c r="I173" s="62"/>
      <c r="J173" s="61"/>
      <c r="K173" s="61"/>
      <c r="L173" s="61"/>
    </row>
    <row r="174" ht="17.6" spans="1:12">
      <c r="A174" s="57"/>
      <c r="B174" s="57"/>
      <c r="C174" s="64"/>
      <c r="D174" s="64"/>
      <c r="E174" s="64"/>
      <c r="F174" s="64"/>
      <c r="G174" s="60"/>
      <c r="H174" s="61"/>
      <c r="I174" s="62"/>
      <c r="J174" s="61"/>
      <c r="K174" s="61"/>
      <c r="L174" s="61"/>
    </row>
    <row r="175" ht="17.6" spans="1:12">
      <c r="A175" s="57"/>
      <c r="B175" s="57"/>
      <c r="C175" s="64"/>
      <c r="D175" s="64"/>
      <c r="E175" s="64"/>
      <c r="F175" s="64"/>
      <c r="G175" s="60"/>
      <c r="H175" s="61"/>
      <c r="I175" s="62"/>
      <c r="J175" s="61"/>
      <c r="K175" s="61"/>
      <c r="L175" s="61"/>
    </row>
    <row r="176" ht="17.6" spans="1:12">
      <c r="A176" s="57"/>
      <c r="B176" s="57"/>
      <c r="C176" s="64"/>
      <c r="D176" s="64"/>
      <c r="E176" s="64"/>
      <c r="F176" s="64"/>
      <c r="G176" s="60"/>
      <c r="H176" s="61"/>
      <c r="I176" s="62"/>
      <c r="J176" s="61"/>
      <c r="K176" s="61"/>
      <c r="L176" s="61"/>
    </row>
    <row r="177" ht="17.6" spans="1:12">
      <c r="A177" s="57"/>
      <c r="B177" s="57"/>
      <c r="C177" s="64"/>
      <c r="D177" s="64"/>
      <c r="E177" s="64"/>
      <c r="F177" s="64"/>
      <c r="G177" s="60"/>
      <c r="H177" s="61"/>
      <c r="I177" s="62"/>
      <c r="J177" s="61"/>
      <c r="K177" s="61"/>
      <c r="L177" s="61"/>
    </row>
    <row r="178" ht="17.6" spans="1:12">
      <c r="A178" s="57"/>
      <c r="B178" s="57"/>
      <c r="C178" s="64"/>
      <c r="D178" s="64"/>
      <c r="E178" s="64"/>
      <c r="F178" s="64"/>
      <c r="G178" s="60"/>
      <c r="H178" s="61"/>
      <c r="I178" s="62"/>
      <c r="J178" s="61"/>
      <c r="K178" s="61"/>
      <c r="L178" s="61"/>
    </row>
    <row r="179" ht="17.6" spans="1:12">
      <c r="A179" s="57"/>
      <c r="B179" s="57"/>
      <c r="C179" s="64"/>
      <c r="D179" s="64"/>
      <c r="E179" s="64"/>
      <c r="F179" s="64"/>
      <c r="G179" s="60"/>
      <c r="H179" s="61"/>
      <c r="I179" s="62"/>
      <c r="J179" s="61"/>
      <c r="K179" s="61"/>
      <c r="L179" s="61"/>
    </row>
    <row r="180" ht="17.6" spans="1:12">
      <c r="A180" s="57"/>
      <c r="B180" s="57"/>
      <c r="C180" s="64"/>
      <c r="D180" s="64"/>
      <c r="E180" s="64"/>
      <c r="F180" s="64"/>
      <c r="G180" s="60"/>
      <c r="H180" s="61"/>
      <c r="I180" s="62"/>
      <c r="J180" s="61"/>
      <c r="K180" s="61"/>
      <c r="L180" s="61"/>
    </row>
    <row r="181" ht="17.6" spans="1:12">
      <c r="A181" s="57"/>
      <c r="B181" s="57"/>
      <c r="C181" s="64"/>
      <c r="D181" s="64"/>
      <c r="E181" s="64"/>
      <c r="F181" s="64"/>
      <c r="G181" s="60"/>
      <c r="H181" s="61"/>
      <c r="I181" s="62"/>
      <c r="J181" s="61"/>
      <c r="K181" s="61"/>
      <c r="L181" s="61"/>
    </row>
    <row r="182" ht="17.6" spans="1:12">
      <c r="A182" s="57"/>
      <c r="B182" s="57"/>
      <c r="C182" s="64"/>
      <c r="D182" s="64"/>
      <c r="E182" s="64"/>
      <c r="F182" s="64"/>
      <c r="G182" s="60"/>
      <c r="H182" s="61"/>
      <c r="I182" s="62"/>
      <c r="J182" s="61"/>
      <c r="K182" s="61"/>
      <c r="L182" s="61"/>
    </row>
    <row r="183" ht="17.6" spans="1:12">
      <c r="A183" s="57"/>
      <c r="B183" s="57"/>
      <c r="C183" s="64"/>
      <c r="D183" s="64"/>
      <c r="E183" s="64"/>
      <c r="F183" s="64"/>
      <c r="G183" s="60"/>
      <c r="H183" s="61"/>
      <c r="I183" s="62"/>
      <c r="J183" s="61"/>
      <c r="K183" s="61"/>
      <c r="L183" s="61"/>
    </row>
    <row r="184" ht="17.6" spans="1:12">
      <c r="A184" s="57"/>
      <c r="B184" s="57"/>
      <c r="C184" s="64"/>
      <c r="D184" s="64"/>
      <c r="E184" s="64"/>
      <c r="F184" s="64"/>
      <c r="G184" s="60"/>
      <c r="H184" s="61"/>
      <c r="I184" s="62"/>
      <c r="J184" s="61"/>
      <c r="K184" s="61"/>
      <c r="L184" s="61"/>
    </row>
    <row r="185" ht="17.6" spans="1:12">
      <c r="A185" s="57"/>
      <c r="B185" s="57"/>
      <c r="C185" s="64"/>
      <c r="D185" s="64"/>
      <c r="E185" s="64"/>
      <c r="F185" s="64"/>
      <c r="G185" s="60"/>
      <c r="H185" s="61"/>
      <c r="I185" s="62"/>
      <c r="J185" s="61"/>
      <c r="K185" s="61"/>
      <c r="L185" s="61"/>
    </row>
    <row r="186" ht="17.6" spans="1:12">
      <c r="A186" s="57"/>
      <c r="B186" s="57"/>
      <c r="C186" s="64"/>
      <c r="D186" s="64"/>
      <c r="E186" s="64"/>
      <c r="F186" s="64"/>
      <c r="G186" s="60"/>
      <c r="H186" s="61"/>
      <c r="I186" s="62"/>
      <c r="J186" s="61"/>
      <c r="K186" s="61"/>
      <c r="L186" s="61"/>
    </row>
    <row r="187" ht="17.6" spans="1:12">
      <c r="A187" s="57"/>
      <c r="B187" s="57"/>
      <c r="C187" s="64"/>
      <c r="D187" s="64"/>
      <c r="E187" s="64"/>
      <c r="F187" s="64"/>
      <c r="G187" s="60"/>
      <c r="H187" s="61"/>
      <c r="I187" s="62"/>
      <c r="J187" s="61"/>
      <c r="K187" s="61"/>
      <c r="L187" s="61"/>
    </row>
    <row r="188" ht="17.6" spans="1:12">
      <c r="A188" s="57"/>
      <c r="B188" s="57"/>
      <c r="C188" s="64"/>
      <c r="D188" s="64"/>
      <c r="E188" s="64"/>
      <c r="F188" s="64"/>
      <c r="G188" s="60"/>
      <c r="H188" s="61"/>
      <c r="I188" s="62"/>
      <c r="J188" s="61"/>
      <c r="K188" s="61"/>
      <c r="L188" s="61"/>
    </row>
    <row r="189" ht="17.6" spans="1:12">
      <c r="A189" s="57"/>
      <c r="B189" s="57"/>
      <c r="C189" s="64"/>
      <c r="D189" s="64"/>
      <c r="E189" s="64"/>
      <c r="F189" s="64"/>
      <c r="G189" s="60"/>
      <c r="H189" s="61"/>
      <c r="I189" s="62"/>
      <c r="J189" s="61"/>
      <c r="K189" s="61"/>
      <c r="L189" s="61"/>
    </row>
    <row r="190" ht="17.6" spans="1:12">
      <c r="A190" s="57"/>
      <c r="B190" s="57"/>
      <c r="C190" s="64"/>
      <c r="D190" s="64"/>
      <c r="E190" s="64"/>
      <c r="F190" s="64"/>
      <c r="G190" s="60"/>
      <c r="H190" s="61"/>
      <c r="I190" s="62"/>
      <c r="J190" s="61"/>
      <c r="K190" s="61"/>
      <c r="L190" s="61"/>
    </row>
    <row r="191" ht="17.6" spans="1:12">
      <c r="A191" s="57"/>
      <c r="B191" s="57"/>
      <c r="C191" s="64"/>
      <c r="D191" s="64"/>
      <c r="E191" s="64"/>
      <c r="F191" s="64"/>
      <c r="G191" s="60"/>
      <c r="H191" s="61"/>
      <c r="I191" s="62"/>
      <c r="J191" s="61"/>
      <c r="K191" s="61"/>
      <c r="L191" s="61"/>
    </row>
    <row r="192" ht="17.6" spans="1:12">
      <c r="A192" s="57"/>
      <c r="B192" s="57"/>
      <c r="C192" s="64"/>
      <c r="D192" s="64"/>
      <c r="E192" s="64"/>
      <c r="F192" s="64"/>
      <c r="G192" s="60"/>
      <c r="H192" s="61"/>
      <c r="I192" s="62"/>
      <c r="J192" s="61"/>
      <c r="K192" s="61"/>
      <c r="L192" s="61"/>
    </row>
    <row r="193" ht="17.6" spans="1:12">
      <c r="A193" s="57"/>
      <c r="B193" s="57"/>
      <c r="C193" s="64"/>
      <c r="D193" s="64"/>
      <c r="E193" s="64"/>
      <c r="F193" s="64"/>
      <c r="G193" s="60"/>
      <c r="H193" s="61"/>
      <c r="I193" s="62"/>
      <c r="J193" s="61"/>
      <c r="K193" s="61"/>
      <c r="L193" s="61"/>
    </row>
    <row r="194" ht="17.6" spans="1:12">
      <c r="A194" s="57"/>
      <c r="B194" s="57"/>
      <c r="C194" s="64"/>
      <c r="D194" s="64"/>
      <c r="E194" s="64"/>
      <c r="F194" s="64"/>
      <c r="G194" s="60"/>
      <c r="H194" s="61"/>
      <c r="I194" s="62"/>
      <c r="J194" s="61"/>
      <c r="K194" s="61"/>
      <c r="L194" s="61"/>
    </row>
    <row r="195" ht="17.6" spans="1:12">
      <c r="A195" s="57"/>
      <c r="B195" s="57"/>
      <c r="C195" s="64"/>
      <c r="D195" s="64"/>
      <c r="E195" s="64"/>
      <c r="F195" s="64"/>
      <c r="G195" s="60"/>
      <c r="H195" s="61"/>
      <c r="I195" s="62"/>
      <c r="J195" s="61"/>
      <c r="K195" s="61"/>
      <c r="L195" s="61"/>
    </row>
    <row r="196" ht="17.6" spans="1:12">
      <c r="A196" s="57"/>
      <c r="B196" s="57"/>
      <c r="C196" s="64"/>
      <c r="D196" s="64"/>
      <c r="E196" s="64"/>
      <c r="F196" s="64"/>
      <c r="G196" s="60"/>
      <c r="H196" s="61"/>
      <c r="I196" s="62"/>
      <c r="J196" s="61"/>
      <c r="K196" s="61"/>
      <c r="L196" s="61"/>
    </row>
    <row r="197" ht="17.6" spans="1:12">
      <c r="A197" s="57"/>
      <c r="B197" s="57"/>
      <c r="C197" s="64"/>
      <c r="D197" s="64"/>
      <c r="E197" s="64"/>
      <c r="F197" s="64"/>
      <c r="G197" s="60"/>
      <c r="H197" s="61"/>
      <c r="I197" s="62"/>
      <c r="J197" s="61"/>
      <c r="K197" s="61"/>
      <c r="L197" s="61"/>
    </row>
    <row r="198" ht="17.6" spans="1:12">
      <c r="A198" s="57"/>
      <c r="B198" s="57"/>
      <c r="C198" s="64"/>
      <c r="D198" s="64"/>
      <c r="E198" s="64"/>
      <c r="F198" s="64"/>
      <c r="G198" s="60"/>
      <c r="H198" s="61"/>
      <c r="I198" s="62"/>
      <c r="J198" s="61"/>
      <c r="K198" s="61"/>
      <c r="L198" s="61"/>
    </row>
    <row r="199" ht="17.6" spans="1:12">
      <c r="A199" s="57"/>
      <c r="B199" s="57"/>
      <c r="C199" s="64"/>
      <c r="D199" s="64"/>
      <c r="E199" s="64"/>
      <c r="F199" s="64"/>
      <c r="G199" s="60"/>
      <c r="H199" s="61"/>
      <c r="I199" s="62"/>
      <c r="J199" s="61"/>
      <c r="K199" s="61"/>
      <c r="L199" s="61"/>
    </row>
    <row r="200" ht="17.6" spans="1:12">
      <c r="A200" s="57"/>
      <c r="B200" s="57"/>
      <c r="C200" s="64"/>
      <c r="D200" s="64"/>
      <c r="E200" s="64"/>
      <c r="F200" s="64"/>
      <c r="G200" s="60"/>
      <c r="H200" s="61"/>
      <c r="I200" s="62"/>
      <c r="J200" s="61"/>
      <c r="K200" s="61"/>
      <c r="L200" s="61"/>
    </row>
    <row r="201" ht="17.6" spans="1:12">
      <c r="A201" s="57"/>
      <c r="B201" s="57"/>
      <c r="C201" s="64"/>
      <c r="D201" s="64"/>
      <c r="E201" s="64"/>
      <c r="F201" s="64"/>
      <c r="G201" s="60"/>
      <c r="H201" s="61"/>
      <c r="I201" s="62"/>
      <c r="J201" s="61"/>
      <c r="K201" s="61"/>
      <c r="L201" s="61"/>
    </row>
    <row r="202" ht="17.6" spans="1:12">
      <c r="A202" s="57"/>
      <c r="B202" s="57"/>
      <c r="C202" s="64"/>
      <c r="D202" s="64"/>
      <c r="E202" s="64"/>
      <c r="F202" s="64"/>
      <c r="G202" s="60"/>
      <c r="H202" s="61"/>
      <c r="I202" s="62"/>
      <c r="J202" s="61"/>
      <c r="K202" s="61"/>
      <c r="L202" s="61"/>
    </row>
    <row r="203" ht="17.6" spans="1:12">
      <c r="A203" s="57"/>
      <c r="B203" s="57"/>
      <c r="C203" s="64"/>
      <c r="D203" s="64"/>
      <c r="E203" s="64"/>
      <c r="F203" s="64"/>
      <c r="G203" s="60"/>
      <c r="H203" s="61"/>
      <c r="I203" s="62"/>
      <c r="J203" s="61"/>
      <c r="K203" s="61"/>
      <c r="L203" s="61"/>
    </row>
    <row r="204" ht="17.6" spans="1:12">
      <c r="A204" s="57"/>
      <c r="B204" s="57"/>
      <c r="C204" s="64"/>
      <c r="D204" s="64"/>
      <c r="E204" s="64"/>
      <c r="F204" s="64"/>
      <c r="G204" s="60"/>
      <c r="H204" s="61"/>
      <c r="I204" s="62"/>
      <c r="J204" s="61"/>
      <c r="K204" s="61"/>
      <c r="L204" s="61"/>
    </row>
    <row r="205" ht="17.6" spans="1:12">
      <c r="A205" s="57"/>
      <c r="B205" s="57"/>
      <c r="C205" s="64"/>
      <c r="D205" s="64"/>
      <c r="E205" s="64"/>
      <c r="F205" s="64"/>
      <c r="G205" s="60"/>
      <c r="H205" s="61"/>
      <c r="I205" s="62"/>
      <c r="J205" s="61"/>
      <c r="K205" s="61"/>
      <c r="L205" s="61"/>
    </row>
    <row r="206" ht="17.6" spans="1:12">
      <c r="A206" s="57"/>
      <c r="B206" s="57"/>
      <c r="C206" s="64"/>
      <c r="D206" s="64"/>
      <c r="E206" s="64"/>
      <c r="F206" s="64"/>
      <c r="G206" s="60"/>
      <c r="H206" s="61"/>
      <c r="I206" s="62"/>
      <c r="J206" s="61"/>
      <c r="K206" s="61"/>
      <c r="L206" s="61"/>
    </row>
    <row r="207" ht="17.6" spans="1:12">
      <c r="A207" s="57"/>
      <c r="B207" s="57"/>
      <c r="C207" s="64"/>
      <c r="D207" s="64"/>
      <c r="E207" s="64"/>
      <c r="F207" s="64"/>
      <c r="G207" s="60"/>
      <c r="H207" s="61"/>
      <c r="I207" s="62"/>
      <c r="J207" s="61"/>
      <c r="K207" s="61"/>
      <c r="L207" s="61"/>
    </row>
    <row r="208" ht="17.6" spans="1:12">
      <c r="A208" s="57"/>
      <c r="B208" s="57"/>
      <c r="C208" s="64"/>
      <c r="D208" s="64"/>
      <c r="E208" s="64"/>
      <c r="F208" s="64"/>
      <c r="G208" s="60"/>
      <c r="H208" s="61"/>
      <c r="I208" s="62"/>
      <c r="J208" s="61"/>
      <c r="K208" s="61"/>
      <c r="L208" s="61"/>
    </row>
    <row r="209" ht="17.6" spans="1:12">
      <c r="A209" s="57"/>
      <c r="B209" s="57"/>
      <c r="C209" s="64"/>
      <c r="D209" s="64"/>
      <c r="E209" s="64"/>
      <c r="F209" s="64"/>
      <c r="G209" s="60"/>
      <c r="H209" s="61"/>
      <c r="I209" s="62"/>
      <c r="J209" s="61"/>
      <c r="K209" s="61"/>
      <c r="L209" s="61"/>
    </row>
    <row r="210" ht="17.6" spans="1:12">
      <c r="A210" s="57"/>
      <c r="B210" s="57"/>
      <c r="C210" s="64"/>
      <c r="D210" s="64"/>
      <c r="E210" s="64"/>
      <c r="F210" s="64"/>
      <c r="G210" s="60"/>
      <c r="H210" s="61"/>
      <c r="I210" s="62"/>
      <c r="J210" s="61"/>
      <c r="K210" s="61"/>
      <c r="L210" s="61"/>
    </row>
    <row r="211" ht="17.6" spans="1:12">
      <c r="A211" s="57"/>
      <c r="B211" s="57"/>
      <c r="C211" s="64"/>
      <c r="D211" s="64"/>
      <c r="E211" s="64"/>
      <c r="F211" s="64"/>
      <c r="G211" s="60"/>
      <c r="H211" s="61"/>
      <c r="I211" s="62"/>
      <c r="J211" s="61"/>
      <c r="K211" s="61"/>
      <c r="L211" s="61"/>
    </row>
    <row r="212" ht="17.6" spans="1:12">
      <c r="A212" s="57"/>
      <c r="B212" s="57"/>
      <c r="C212" s="64"/>
      <c r="D212" s="64"/>
      <c r="E212" s="64"/>
      <c r="F212" s="64"/>
      <c r="G212" s="60"/>
      <c r="H212" s="61"/>
      <c r="I212" s="62"/>
      <c r="J212" s="61"/>
      <c r="K212" s="61"/>
      <c r="L212" s="61"/>
    </row>
    <row r="213" ht="17.6" spans="1:12">
      <c r="A213" s="57"/>
      <c r="B213" s="57"/>
      <c r="C213" s="64"/>
      <c r="D213" s="64"/>
      <c r="E213" s="64"/>
      <c r="F213" s="64"/>
      <c r="G213" s="60"/>
      <c r="H213" s="61"/>
      <c r="I213" s="62"/>
      <c r="J213" s="61"/>
      <c r="K213" s="61"/>
      <c r="L213" s="61"/>
    </row>
    <row r="214" ht="17.6" spans="1:12">
      <c r="A214" s="57"/>
      <c r="B214" s="57"/>
      <c r="C214" s="64"/>
      <c r="D214" s="64"/>
      <c r="E214" s="64"/>
      <c r="F214" s="64"/>
      <c r="G214" s="60"/>
      <c r="H214" s="61"/>
      <c r="I214" s="62"/>
      <c r="J214" s="61"/>
      <c r="K214" s="61"/>
      <c r="L214" s="61"/>
    </row>
    <row r="215" ht="17.6" spans="1:12">
      <c r="A215" s="57"/>
      <c r="B215" s="57"/>
      <c r="C215" s="64"/>
      <c r="D215" s="64"/>
      <c r="E215" s="64"/>
      <c r="F215" s="64"/>
      <c r="G215" s="60"/>
      <c r="H215" s="61"/>
      <c r="I215" s="62"/>
      <c r="J215" s="61"/>
      <c r="K215" s="61"/>
      <c r="L215" s="61"/>
    </row>
    <row r="216" ht="17.6" spans="1:12">
      <c r="A216" s="57"/>
      <c r="B216" s="57"/>
      <c r="C216" s="64"/>
      <c r="D216" s="64"/>
      <c r="E216" s="64"/>
      <c r="F216" s="64"/>
      <c r="G216" s="60"/>
      <c r="H216" s="61"/>
      <c r="I216" s="62"/>
      <c r="J216" s="61"/>
      <c r="K216" s="61"/>
      <c r="L216" s="61"/>
    </row>
    <row r="217" ht="17.6" spans="1:12">
      <c r="A217" s="57"/>
      <c r="B217" s="57"/>
      <c r="C217" s="64"/>
      <c r="D217" s="64"/>
      <c r="E217" s="64"/>
      <c r="F217" s="64"/>
      <c r="G217" s="60"/>
      <c r="H217" s="61"/>
      <c r="I217" s="62"/>
      <c r="J217" s="61"/>
      <c r="K217" s="61"/>
      <c r="L217" s="61"/>
    </row>
    <row r="218" ht="17.6" spans="1:12">
      <c r="A218" s="57"/>
      <c r="B218" s="57"/>
      <c r="C218" s="64"/>
      <c r="D218" s="64"/>
      <c r="E218" s="64"/>
      <c r="F218" s="64"/>
      <c r="G218" s="60"/>
      <c r="H218" s="61"/>
      <c r="I218" s="62"/>
      <c r="J218" s="61"/>
      <c r="K218" s="61"/>
      <c r="L218" s="61"/>
    </row>
    <row r="219" ht="17.6" spans="1:12">
      <c r="A219" s="57"/>
      <c r="B219" s="57"/>
      <c r="C219" s="64"/>
      <c r="D219" s="64"/>
      <c r="E219" s="64"/>
      <c r="F219" s="64"/>
      <c r="G219" s="60"/>
      <c r="H219" s="61"/>
      <c r="I219" s="62"/>
      <c r="J219" s="61"/>
      <c r="K219" s="61"/>
      <c r="L219" s="61"/>
    </row>
    <row r="220" ht="17.6" spans="1:12">
      <c r="A220" s="57"/>
      <c r="B220" s="57"/>
      <c r="C220" s="64"/>
      <c r="D220" s="64"/>
      <c r="E220" s="64"/>
      <c r="F220" s="64"/>
      <c r="G220" s="60"/>
      <c r="H220" s="61"/>
      <c r="I220" s="62"/>
      <c r="J220" s="61"/>
      <c r="K220" s="61"/>
      <c r="L220" s="61"/>
    </row>
    <row r="221" ht="17.6" spans="1:12">
      <c r="A221" s="57"/>
      <c r="B221" s="57"/>
      <c r="C221" s="64"/>
      <c r="D221" s="64"/>
      <c r="E221" s="64"/>
      <c r="F221" s="64"/>
      <c r="G221" s="60"/>
      <c r="H221" s="61"/>
      <c r="I221" s="62"/>
      <c r="J221" s="61"/>
      <c r="K221" s="61"/>
      <c r="L221" s="61"/>
    </row>
    <row r="222" ht="17.6" spans="1:12">
      <c r="A222" s="57"/>
      <c r="B222" s="57"/>
      <c r="C222" s="64"/>
      <c r="D222" s="64"/>
      <c r="E222" s="64"/>
      <c r="F222" s="64"/>
      <c r="G222" s="60"/>
      <c r="H222" s="61"/>
      <c r="I222" s="62"/>
      <c r="J222" s="61"/>
      <c r="K222" s="61"/>
      <c r="L222" s="61"/>
    </row>
    <row r="223" ht="17.6" spans="1:12">
      <c r="A223" s="57"/>
      <c r="B223" s="57"/>
      <c r="C223" s="64"/>
      <c r="D223" s="64"/>
      <c r="E223" s="64"/>
      <c r="F223" s="64"/>
      <c r="G223" s="60"/>
      <c r="H223" s="61"/>
      <c r="I223" s="62"/>
      <c r="J223" s="61"/>
      <c r="K223" s="61"/>
      <c r="L223" s="61"/>
    </row>
  </sheetData>
  <mergeCells count="12">
    <mergeCell ref="A5:A7"/>
    <mergeCell ref="B5:B7"/>
    <mergeCell ref="C5:C7"/>
    <mergeCell ref="D5:D7"/>
    <mergeCell ref="E5:E7"/>
    <mergeCell ref="F5:F7"/>
    <mergeCell ref="G5:G7"/>
    <mergeCell ref="H6:H7"/>
    <mergeCell ref="I5:I7"/>
    <mergeCell ref="J5:J7"/>
    <mergeCell ref="K5:K7"/>
    <mergeCell ref="L5:L7"/>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李志望</dc:creator>
  <cp:lastModifiedBy>Charlee</cp:lastModifiedBy>
  <dcterms:created xsi:type="dcterms:W3CDTF">2026-04-25T00:25:00Z</dcterms:created>
  <dcterms:modified xsi:type="dcterms:W3CDTF">2026-04-24T17:38:59Z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4BA3D810E00FD319333AEB69FAD7FE37_43</vt:lpwstr>
  </property>
  <property fmtid="{D5CDD505-2E9C-101B-9397-08002B2CF9AE}" pid="3" name="KSOProductBuildVer">
    <vt:lpwstr>2052-12.1.25205.25205</vt:lpwstr>
  </property>
  <property fmtid="{D5CDD505-2E9C-101B-9397-08002B2CF9AE}" pid="4" name="CalculationRule">
    <vt:i4>1</vt:i4>
  </property>
</Properties>
</file>